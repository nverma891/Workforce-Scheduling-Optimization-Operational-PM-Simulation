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yroll_Raw_Data" sheetId="1" state="visible" r:id="rId3"/>
    <sheet name="KPI_Dashboard" sheetId="2" state="visible" r:id="rId4"/>
    <sheet name="Monthly_OT_Trend" sheetId="3" state="visible" r:id="rId5"/>
    <sheet name="Dept_Breakdown" sheetId="4" state="visible" r:id="rId6"/>
    <sheet name="Pilot_Scenario_Model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<sst xmlns="http://schemas.openxmlformats.org/spreadsheetml/2006/main" count="990" uniqueCount="271">
  <si>
    <t xml:space="preserve">Workforce Payroll Data — 12-Month Historical (Operational PM Simulation)</t>
  </si>
  <si>
    <t xml:space="preserve">EmployeeID</t>
  </si>
  <si>
    <t xml:space="preserve">Department</t>
  </si>
  <si>
    <t xml:space="preserve">Shift</t>
  </si>
  <si>
    <t xml:space="preserve">Month</t>
  </si>
  <si>
    <t xml:space="preserve">RegularHours</t>
  </si>
  <si>
    <t xml:space="preserve">OvertimeHours</t>
  </si>
  <si>
    <t xml:space="preserve">RegularPayRate</t>
  </si>
  <si>
    <t xml:space="preserve">OvertimePayRate</t>
  </si>
  <si>
    <t xml:space="preserve">RegularCost</t>
  </si>
  <si>
    <t xml:space="preserve">OvertimeCost</t>
  </si>
  <si>
    <t xml:space="preserve">TotalCost</t>
  </si>
  <si>
    <t xml:space="preserve">CoverageTarget</t>
  </si>
  <si>
    <t xml:space="preserve">E001</t>
  </si>
  <si>
    <t xml:space="preserve">Operations</t>
  </si>
  <si>
    <t xml:space="preserve">Morning</t>
  </si>
  <si>
    <t xml:space="preserve">Jan-24</t>
  </si>
  <si>
    <t xml:space="preserve">Met</t>
  </si>
  <si>
    <t xml:space="preserve">E002</t>
  </si>
  <si>
    <t xml:space="preserve">Afternoon</t>
  </si>
  <si>
    <t xml:space="preserve">E003</t>
  </si>
  <si>
    <t xml:space="preserve">Night</t>
  </si>
  <si>
    <t xml:space="preserve">E004</t>
  </si>
  <si>
    <t xml:space="preserve">Customer Service</t>
  </si>
  <si>
    <t xml:space="preserve">E005</t>
  </si>
  <si>
    <t xml:space="preserve">E006</t>
  </si>
  <si>
    <t xml:space="preserve">E007</t>
  </si>
  <si>
    <t xml:space="preserve">Logistics</t>
  </si>
  <si>
    <t xml:space="preserve">E008</t>
  </si>
  <si>
    <t xml:space="preserve">E009</t>
  </si>
  <si>
    <t xml:space="preserve">Not Met</t>
  </si>
  <si>
    <t xml:space="preserve">E010</t>
  </si>
  <si>
    <t xml:space="preserve">Warehouse</t>
  </si>
  <si>
    <t xml:space="preserve">E011</t>
  </si>
  <si>
    <t xml:space="preserve">E012</t>
  </si>
  <si>
    <t xml:space="preserve">E013</t>
  </si>
  <si>
    <t xml:space="preserve">Admin</t>
  </si>
  <si>
    <t xml:space="preserve">E014</t>
  </si>
  <si>
    <t xml:space="preserve">E015</t>
  </si>
  <si>
    <t xml:space="preserve">E016</t>
  </si>
  <si>
    <t xml:space="preserve">Feb-24</t>
  </si>
  <si>
    <t xml:space="preserve">E017</t>
  </si>
  <si>
    <t xml:space="preserve">E018</t>
  </si>
  <si>
    <t xml:space="preserve">E019</t>
  </si>
  <si>
    <t xml:space="preserve">E020</t>
  </si>
  <si>
    <t xml:space="preserve">E021</t>
  </si>
  <si>
    <t xml:space="preserve">E022</t>
  </si>
  <si>
    <t xml:space="preserve">E023</t>
  </si>
  <si>
    <t xml:space="preserve">E024</t>
  </si>
  <si>
    <t xml:space="preserve">E025</t>
  </si>
  <si>
    <t xml:space="preserve">E026</t>
  </si>
  <si>
    <t xml:space="preserve">E027</t>
  </si>
  <si>
    <t xml:space="preserve">E028</t>
  </si>
  <si>
    <t xml:space="preserve">E029</t>
  </si>
  <si>
    <t xml:space="preserve">E030</t>
  </si>
  <si>
    <t xml:space="preserve">E031</t>
  </si>
  <si>
    <t xml:space="preserve">Mar-24</t>
  </si>
  <si>
    <t xml:space="preserve">E032</t>
  </si>
  <si>
    <t xml:space="preserve">E033</t>
  </si>
  <si>
    <t xml:space="preserve">E034</t>
  </si>
  <si>
    <t xml:space="preserve">E035</t>
  </si>
  <si>
    <t xml:space="preserve">E036</t>
  </si>
  <si>
    <t xml:space="preserve">E037</t>
  </si>
  <si>
    <t xml:space="preserve">E038</t>
  </si>
  <si>
    <t xml:space="preserve">E039</t>
  </si>
  <si>
    <t xml:space="preserve">E040</t>
  </si>
  <si>
    <t xml:space="preserve">E041</t>
  </si>
  <si>
    <t xml:space="preserve">E042</t>
  </si>
  <si>
    <t xml:space="preserve">E043</t>
  </si>
  <si>
    <t xml:space="preserve">E044</t>
  </si>
  <si>
    <t xml:space="preserve">E045</t>
  </si>
  <si>
    <t xml:space="preserve">E046</t>
  </si>
  <si>
    <t xml:space="preserve">Apr-24</t>
  </si>
  <si>
    <t xml:space="preserve">E047</t>
  </si>
  <si>
    <t xml:space="preserve">E048</t>
  </si>
  <si>
    <t xml:space="preserve">E049</t>
  </si>
  <si>
    <t xml:space="preserve">E050</t>
  </si>
  <si>
    <t xml:space="preserve">E051</t>
  </si>
  <si>
    <t xml:space="preserve">E052</t>
  </si>
  <si>
    <t xml:space="preserve">E053</t>
  </si>
  <si>
    <t xml:space="preserve">E054</t>
  </si>
  <si>
    <t xml:space="preserve">E055</t>
  </si>
  <si>
    <t xml:space="preserve">E056</t>
  </si>
  <si>
    <t xml:space="preserve">E057</t>
  </si>
  <si>
    <t xml:space="preserve">E058</t>
  </si>
  <si>
    <t xml:space="preserve">E059</t>
  </si>
  <si>
    <t xml:space="preserve">E060</t>
  </si>
  <si>
    <t xml:space="preserve">E061</t>
  </si>
  <si>
    <t xml:space="preserve">May-24</t>
  </si>
  <si>
    <t xml:space="preserve">E062</t>
  </si>
  <si>
    <t xml:space="preserve">E063</t>
  </si>
  <si>
    <t xml:space="preserve">E064</t>
  </si>
  <si>
    <t xml:space="preserve">E065</t>
  </si>
  <si>
    <t xml:space="preserve">E066</t>
  </si>
  <si>
    <t xml:space="preserve">E067</t>
  </si>
  <si>
    <t xml:space="preserve">E068</t>
  </si>
  <si>
    <t xml:space="preserve">E069</t>
  </si>
  <si>
    <t xml:space="preserve">E070</t>
  </si>
  <si>
    <t xml:space="preserve">E071</t>
  </si>
  <si>
    <t xml:space="preserve">E072</t>
  </si>
  <si>
    <t xml:space="preserve">E073</t>
  </si>
  <si>
    <t xml:space="preserve">E074</t>
  </si>
  <si>
    <t xml:space="preserve">E075</t>
  </si>
  <si>
    <t xml:space="preserve">E076</t>
  </si>
  <si>
    <t xml:space="preserve">Jun-24</t>
  </si>
  <si>
    <t xml:space="preserve">E077</t>
  </si>
  <si>
    <t xml:space="preserve">E078</t>
  </si>
  <si>
    <t xml:space="preserve">E079</t>
  </si>
  <si>
    <t xml:space="preserve">E080</t>
  </si>
  <si>
    <t xml:space="preserve">E081</t>
  </si>
  <si>
    <t xml:space="preserve">E082</t>
  </si>
  <si>
    <t xml:space="preserve">E083</t>
  </si>
  <si>
    <t xml:space="preserve">E084</t>
  </si>
  <si>
    <t xml:space="preserve">E085</t>
  </si>
  <si>
    <t xml:space="preserve">E086</t>
  </si>
  <si>
    <t xml:space="preserve">E087</t>
  </si>
  <si>
    <t xml:space="preserve">E088</t>
  </si>
  <si>
    <t xml:space="preserve">E089</t>
  </si>
  <si>
    <t xml:space="preserve">E090</t>
  </si>
  <si>
    <t xml:space="preserve">E091</t>
  </si>
  <si>
    <t xml:space="preserve">Jul-24</t>
  </si>
  <si>
    <t xml:space="preserve">E092</t>
  </si>
  <si>
    <t xml:space="preserve">E093</t>
  </si>
  <si>
    <t xml:space="preserve">E094</t>
  </si>
  <si>
    <t xml:space="preserve">E095</t>
  </si>
  <si>
    <t xml:space="preserve">E096</t>
  </si>
  <si>
    <t xml:space="preserve">E097</t>
  </si>
  <si>
    <t xml:space="preserve">E098</t>
  </si>
  <si>
    <t xml:space="preserve">E099</t>
  </si>
  <si>
    <t xml:space="preserve">E100</t>
  </si>
  <si>
    <t xml:space="preserve">E101</t>
  </si>
  <si>
    <t xml:space="preserve">E102</t>
  </si>
  <si>
    <t xml:space="preserve">E103</t>
  </si>
  <si>
    <t xml:space="preserve">E104</t>
  </si>
  <si>
    <t xml:space="preserve">E105</t>
  </si>
  <si>
    <t xml:space="preserve">E106</t>
  </si>
  <si>
    <t xml:space="preserve">Aug-24</t>
  </si>
  <si>
    <t xml:space="preserve">E107</t>
  </si>
  <si>
    <t xml:space="preserve">E108</t>
  </si>
  <si>
    <t xml:space="preserve">E109</t>
  </si>
  <si>
    <t xml:space="preserve">E110</t>
  </si>
  <si>
    <t xml:space="preserve">E111</t>
  </si>
  <si>
    <t xml:space="preserve">E112</t>
  </si>
  <si>
    <t xml:space="preserve">E113</t>
  </si>
  <si>
    <t xml:space="preserve">E114</t>
  </si>
  <si>
    <t xml:space="preserve">E115</t>
  </si>
  <si>
    <t xml:space="preserve">E116</t>
  </si>
  <si>
    <t xml:space="preserve">E117</t>
  </si>
  <si>
    <t xml:space="preserve">E118</t>
  </si>
  <si>
    <t xml:space="preserve">E119</t>
  </si>
  <si>
    <t xml:space="preserve">E120</t>
  </si>
  <si>
    <t xml:space="preserve">E121</t>
  </si>
  <si>
    <t xml:space="preserve">Sep-24</t>
  </si>
  <si>
    <t xml:space="preserve">E122</t>
  </si>
  <si>
    <t xml:space="preserve">E123</t>
  </si>
  <si>
    <t xml:space="preserve">E124</t>
  </si>
  <si>
    <t xml:space="preserve">E125</t>
  </si>
  <si>
    <t xml:space="preserve">E126</t>
  </si>
  <si>
    <t xml:space="preserve">E127</t>
  </si>
  <si>
    <t xml:space="preserve">E128</t>
  </si>
  <si>
    <t xml:space="preserve">E129</t>
  </si>
  <si>
    <t xml:space="preserve">E130</t>
  </si>
  <si>
    <t xml:space="preserve">E131</t>
  </si>
  <si>
    <t xml:space="preserve">E132</t>
  </si>
  <si>
    <t xml:space="preserve">E133</t>
  </si>
  <si>
    <t xml:space="preserve">E134</t>
  </si>
  <si>
    <t xml:space="preserve">E135</t>
  </si>
  <si>
    <t xml:space="preserve">E136</t>
  </si>
  <si>
    <t xml:space="preserve">Oct-24</t>
  </si>
  <si>
    <t xml:space="preserve">E137</t>
  </si>
  <si>
    <t xml:space="preserve">E138</t>
  </si>
  <si>
    <t xml:space="preserve">E139</t>
  </si>
  <si>
    <t xml:space="preserve">E140</t>
  </si>
  <si>
    <t xml:space="preserve">E141</t>
  </si>
  <si>
    <t xml:space="preserve">E142</t>
  </si>
  <si>
    <t xml:space="preserve">E143</t>
  </si>
  <si>
    <t xml:space="preserve">E144</t>
  </si>
  <si>
    <t xml:space="preserve">E145</t>
  </si>
  <si>
    <t xml:space="preserve">E146</t>
  </si>
  <si>
    <t xml:space="preserve">E147</t>
  </si>
  <si>
    <t xml:space="preserve">E148</t>
  </si>
  <si>
    <t xml:space="preserve">E149</t>
  </si>
  <si>
    <t xml:space="preserve">E150</t>
  </si>
  <si>
    <t xml:space="preserve">E151</t>
  </si>
  <si>
    <t xml:space="preserve">Nov-24</t>
  </si>
  <si>
    <t xml:space="preserve">E152</t>
  </si>
  <si>
    <t xml:space="preserve">E153</t>
  </si>
  <si>
    <t xml:space="preserve">E154</t>
  </si>
  <si>
    <t xml:space="preserve">E155</t>
  </si>
  <si>
    <t xml:space="preserve">E156</t>
  </si>
  <si>
    <t xml:space="preserve">E157</t>
  </si>
  <si>
    <t xml:space="preserve">E158</t>
  </si>
  <si>
    <t xml:space="preserve">E159</t>
  </si>
  <si>
    <t xml:space="preserve">E160</t>
  </si>
  <si>
    <t xml:space="preserve">E161</t>
  </si>
  <si>
    <t xml:space="preserve">E162</t>
  </si>
  <si>
    <t xml:space="preserve">E163</t>
  </si>
  <si>
    <t xml:space="preserve">E164</t>
  </si>
  <si>
    <t xml:space="preserve">E165</t>
  </si>
  <si>
    <t xml:space="preserve">E166</t>
  </si>
  <si>
    <t xml:space="preserve">Dec-24</t>
  </si>
  <si>
    <t xml:space="preserve">E167</t>
  </si>
  <si>
    <t xml:space="preserve">E168</t>
  </si>
  <si>
    <t xml:space="preserve">E169</t>
  </si>
  <si>
    <t xml:space="preserve">E170</t>
  </si>
  <si>
    <t xml:space="preserve">E171</t>
  </si>
  <si>
    <t xml:space="preserve">E172</t>
  </si>
  <si>
    <t xml:space="preserve">E173</t>
  </si>
  <si>
    <t xml:space="preserve">E174</t>
  </si>
  <si>
    <t xml:space="preserve">E175</t>
  </si>
  <si>
    <t xml:space="preserve">E176</t>
  </si>
  <si>
    <t xml:space="preserve">E177</t>
  </si>
  <si>
    <t xml:space="preserve">E178</t>
  </si>
  <si>
    <t xml:space="preserve">E179</t>
  </si>
  <si>
    <t xml:space="preserve">E180</t>
  </si>
  <si>
    <t xml:space="preserve">Workforce Scheduling KPI Dashboard</t>
  </si>
  <si>
    <t xml:space="preserve">KPI</t>
  </si>
  <si>
    <t xml:space="preserve">Value</t>
  </si>
  <si>
    <t xml:space="preserve">Notes</t>
  </si>
  <si>
    <t xml:space="preserve">Total Annual Payroll</t>
  </si>
  <si>
    <t xml:space="preserve">Based on Dec avg × 12 months</t>
  </si>
  <si>
    <t xml:space="preserve">Total Overtime Cost</t>
  </si>
  <si>
    <t xml:space="preserve">Based on full 12-month simulation data</t>
  </si>
  <si>
    <t xml:space="preserve">OT as % of Total Labor</t>
  </si>
  <si>
    <t xml:space="preserve">Target: reduce to &lt; 10% (industry benchmark)</t>
  </si>
  <si>
    <t xml:space="preserve">Avg OT Hours/Employee/Mo</t>
  </si>
  <si>
    <t xml:space="preserve">Target: reduce to &lt; 8 hrs/employee/month</t>
  </si>
  <si>
    <t xml:space="preserve">Coverage Target Met Rate</t>
  </si>
  <si>
    <t xml:space="preserve">Goal: maintain 100% coverage during OT reduction</t>
  </si>
  <si>
    <t xml:space="preserve">Projected OT Reduction (15%)</t>
  </si>
  <si>
    <t xml:space="preserve">Conservative scenario — 15% OT cost reduction target</t>
  </si>
  <si>
    <t xml:space="preserve">Projected OT Reduction (20%)</t>
  </si>
  <si>
    <t xml:space="preserve">Stretch scenario — 20% OT cost reduction target</t>
  </si>
  <si>
    <t xml:space="preserve">Monthly Overtime Cost &amp; Hours Trend — 12 Months</t>
  </si>
  <si>
    <t xml:space="preserve">Total OT Hours</t>
  </si>
  <si>
    <t xml:space="preserve">Total OT Cost</t>
  </si>
  <si>
    <t xml:space="preserve">Regular Cost</t>
  </si>
  <si>
    <t xml:space="preserve">OT %</t>
  </si>
  <si>
    <t xml:space="preserve">Coverage Met %</t>
  </si>
  <si>
    <t xml:space="preserve">Overtime Cost by Department — Full Year</t>
  </si>
  <si>
    <t xml:space="preserve">OT as % of Dept Labor</t>
  </si>
  <si>
    <t xml:space="preserve">Avg OT/Employee/Mo</t>
  </si>
  <si>
    <t xml:space="preserve">Utilization Rate</t>
  </si>
  <si>
    <t xml:space="preserve">Scheduling Optimization — Pilot Impact Scenario Model</t>
  </si>
  <si>
    <t xml:space="preserve">MODEL ASSUMPTIONS (Editable — Blue Cells)</t>
  </si>
  <si>
    <t xml:space="preserve">OT Reduction Target (Conservative)</t>
  </si>
  <si>
    <t xml:space="preserve">A</t>
  </si>
  <si>
    <t xml:space="preserve">15% — assumed</t>
  </si>
  <si>
    <t xml:space="preserve">OT Reduction Target (Stretch)</t>
  </si>
  <si>
    <t xml:space="preserve">B</t>
  </si>
  <si>
    <t xml:space="preserve">20% — assumed</t>
  </si>
  <si>
    <t xml:space="preserve">Coverage Accuracy Improvement</t>
  </si>
  <si>
    <t xml:space="preserve">C</t>
  </si>
  <si>
    <t xml:space="preserve">5% — assumed</t>
  </si>
  <si>
    <t xml:space="preserve">Implementation Cost (one-time)</t>
  </si>
  <si>
    <t xml:space="preserve">D</t>
  </si>
  <si>
    <t xml:space="preserve">$15,000 — assumed</t>
  </si>
  <si>
    <t xml:space="preserve">Monthly Monitoring Hours Saved</t>
  </si>
  <si>
    <t xml:space="preserve">E</t>
  </si>
  <si>
    <t xml:space="preserve">40 hrs — assumed</t>
  </si>
  <si>
    <t xml:space="preserve">Hourly cost of analyst time</t>
  </si>
  <si>
    <t xml:space="preserve">F</t>
  </si>
  <si>
    <t xml:space="preserve">$32 — assumed</t>
  </si>
  <si>
    <t xml:space="preserve">PROJECTED IMPACT</t>
  </si>
  <si>
    <t xml:space="preserve">Projected Annual OT Savings (Conservative)</t>
  </si>
  <si>
    <t xml:space="preserve">Projected Annual OT Savings (Stretch)</t>
  </si>
  <si>
    <t xml:space="preserve">Annual Analyst Time Savings</t>
  </si>
  <si>
    <t xml:space="preserve">Total 1-Year Benefit (Conservative)</t>
  </si>
  <si>
    <t xml:space="preserve">ROI (Conservative, Year 1)</t>
  </si>
  <si>
    <t xml:space="preserve">Payback Period (months)</t>
  </si>
  <si>
    <t xml:space="preserve">CONCLUSION: The scheduling optimization solution is projected to reduce overtime expenses by 15–20% while maintaining full service coverage. Conservative scenario delivers positive ROI within 6 months.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</si>
</sst>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0"/>
    <numFmt numFmtId="166" formatCode="\$#,##0"/>
    <numFmt numFmtId="167" formatCode="0.0%"/>
    <numFmt numFmtId="168" formatCode="0.0"/>
    <numFmt numFmtId="169" formatCode="0%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7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1"/>
      <color rgb="FF7F3F00"/>
      <name val="Arial"/>
      <family val="0"/>
      <charset val="1"/>
    </font>
    <font>
      <b val="true"/>
      <sz val="11"/>
      <color rgb="FF375623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3"/>
      <color rgb="FFFFFFFF"/>
      <name val="Arial"/>
      <family val="0"/>
      <charset val="1"/>
    </font>
    <font>
      <sz val="9"/>
      <color rgb="FF7F7F7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375623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BF3FB"/>
        <bgColor rgb="FFF9F9F9"/>
      </patternFill>
    </fill>
    <fill>
      <patternFill patternType="solid">
        <fgColor rgb="FF2E75B6"/>
        <bgColor rgb="FF4A7EBB"/>
      </patternFill>
    </fill>
    <fill>
      <patternFill patternType="solid">
        <fgColor rgb="FF375623"/>
        <bgColor rgb="FF595959"/>
      </patternFill>
    </fill>
    <fill>
      <patternFill patternType="solid">
        <fgColor rgb="FFE2EFDA"/>
        <bgColor rgb="FFEBF3FB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1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6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4F81BD"/>
      <rgbColor rgb="FFC0C0C0"/>
      <rgbColor rgb="FF7F7F7F"/>
      <rgbColor rgb="FF9999FF"/>
      <rgbColor rgb="FF993366"/>
      <rgbColor rgb="FFF9F9F9"/>
      <rgbColor rgb="FFEBF3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878787"/>
      <rgbColor rgb="FF003366"/>
      <rgbColor rgb="FF4A7EBB"/>
      <rgbColor rgb="FF003300"/>
      <rgbColor rgb="FF333300"/>
      <rgbColor rgb="FF7F3F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Overtime Cost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Monthly_OT_Trend!C3</c:f>
              <c:strCache>
                <c:ptCount val="1"/>
                <c:pt idx="0">
                  <c:v>Total OT Cost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Monthly_OT_Trend!$A$4:$A$15</c:f>
              <c:strCache>
                <c:ptCount val="12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</c:strCache>
            </c:strRef>
          </c:cat>
          <c:val>
            <c:numRef>
              <c:f>Monthly_OT_Trend!$C$4:$C$15</c:f>
              <c:numCache>
                <c:formatCode>\$#,##0</c:formatCode>
                <c:ptCount val="12"/>
                <c:pt idx="0">
                  <c:v>6163.5</c:v>
                </c:pt>
                <c:pt idx="1">
                  <c:v>9937.5</c:v>
                </c:pt>
                <c:pt idx="2">
                  <c:v>9171</c:v>
                </c:pt>
                <c:pt idx="3">
                  <c:v>8296.5</c:v>
                </c:pt>
                <c:pt idx="4">
                  <c:v>8821.5</c:v>
                </c:pt>
                <c:pt idx="5">
                  <c:v>10927.5</c:v>
                </c:pt>
                <c:pt idx="6">
                  <c:v>9099</c:v>
                </c:pt>
                <c:pt idx="7">
                  <c:v>10014</c:v>
                </c:pt>
                <c:pt idx="8">
                  <c:v>7672.5</c:v>
                </c:pt>
                <c:pt idx="9">
                  <c:v>6642</c:v>
                </c:pt>
                <c:pt idx="10">
                  <c:v>6343.5</c:v>
                </c:pt>
                <c:pt idx="11">
                  <c:v>9606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0013752"/>
        <c:axId val="38381264"/>
      </c:lineChart>
      <c:catAx>
        <c:axId val="7001375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381264"/>
        <c:crosses val="autoZero"/>
        <c:auto val="1"/>
        <c:lblAlgn val="ctr"/>
        <c:lblOffset val="100"/>
        <c:noMultiLvlLbl val="0"/>
      </c:catAx>
      <c:valAx>
        <c:axId val="3838126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Cost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01375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OT Cost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Dept_Breakdown!C3</c:f>
              <c:strCache>
                <c:ptCount val="1"/>
                <c:pt idx="0">
                  <c:v>Total OT Cost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Dept_Breakdown!$A$4:$A$8</c:f>
              <c:strCache>
                <c:ptCount val="5"/>
                <c:pt idx="0">
                  <c:v>Operations</c:v>
                </c:pt>
                <c:pt idx="1">
                  <c:v>Customer Service</c:v>
                </c:pt>
                <c:pt idx="2">
                  <c:v>Logistics</c:v>
                </c:pt>
                <c:pt idx="3">
                  <c:v>Warehouse</c:v>
                </c:pt>
                <c:pt idx="4">
                  <c:v>Admin</c:v>
                </c:pt>
              </c:strCache>
            </c:strRef>
          </c:cat>
          <c:val>
            <c:numRef>
              <c:f>Dept_Breakdown!$C$4:$C$8</c:f>
              <c:numCache>
                <c:formatCode>\$#,##0</c:formatCode>
                <c:ptCount val="5"/>
                <c:pt idx="0">
                  <c:v>19882.5</c:v>
                </c:pt>
                <c:pt idx="1">
                  <c:v>21187.5</c:v>
                </c:pt>
                <c:pt idx="2">
                  <c:v>22702.5</c:v>
                </c:pt>
                <c:pt idx="3">
                  <c:v>17949</c:v>
                </c:pt>
                <c:pt idx="4">
                  <c:v>20973</c:v>
                </c:pt>
              </c:numCache>
            </c:numRef>
          </c:val>
        </c:ser>
        <c:gapWidth val="150"/>
        <c:overlap val="0"/>
        <c:axId val="82350452"/>
        <c:axId val="46343906"/>
      </c:barChart>
      <c:catAx>
        <c:axId val="823504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343906"/>
        <c:crosses val="autoZero"/>
        <c:auto val="1"/>
        <c:lblAlgn val="ctr"/>
        <c:lblOffset val="100"/>
        <c:noMultiLvlLbl val="0"/>
      </c:catAx>
      <c:valAx>
        <c:axId val="4634390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OT Cost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35045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0</xdr:rowOff>
    </xdr:from>
    <xdr:to>
      <xdr:col>19</xdr:col>
      <xdr:colOff>581400</xdr:colOff>
      <xdr:row>24</xdr:row>
      <xdr:rowOff>128880</xdr:rowOff>
    </xdr:to>
    <xdr:graphicFrame>
      <xdr:nvGraphicFramePr>
        <xdr:cNvPr id="0" name="Chart 1"/>
        <xdr:cNvGraphicFramePr/>
      </xdr:nvGraphicFramePr>
      <xdr:xfrm>
        <a:off x="6109200" y="514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175680</xdr:rowOff>
    </xdr:from>
    <xdr:to>
      <xdr:col>17</xdr:col>
      <xdr:colOff>364680</xdr:colOff>
      <xdr:row>24</xdr:row>
      <xdr:rowOff>20520</xdr:rowOff>
    </xdr:to>
    <xdr:graphicFrame>
      <xdr:nvGraphicFramePr>
        <xdr:cNvPr id="1" name="Chart 1"/>
        <xdr:cNvGraphicFramePr/>
      </xdr:nvGraphicFramePr>
      <xdr:xfrm>
        <a:off x="7378200" y="38088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3"/>
    <col collapsed="false" customWidth="true" hidden="false" outlineLevel="0" max="7" min="6" style="0" width="14"/>
    <col collapsed="false" customWidth="true" hidden="false" outlineLevel="0" max="8" min="8" style="0" width="15"/>
    <col collapsed="false" customWidth="true" hidden="false" outlineLevel="0" max="10" min="9" style="0" width="14"/>
    <col collapsed="false" customWidth="true" hidden="false" outlineLevel="0" max="11" min="11" style="0" width="12"/>
    <col collapsed="false" customWidth="true" hidden="false" outlineLevel="0" max="12" min="12" style="0" width="14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customFormat="false" ht="22.3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</row>
    <row r="4" customFormat="false" ht="15" hidden="false" customHeight="false" outlineLevel="0" collapsed="false">
      <c r="A4" s="3" t="s">
        <v>13</v>
      </c>
      <c r="B4" s="3" t="s">
        <v>14</v>
      </c>
      <c r="C4" s="3" t="s">
        <v>15</v>
      </c>
      <c r="D4" s="3" t="s">
        <v>16</v>
      </c>
      <c r="E4" s="3" t="n">
        <v>160</v>
      </c>
      <c r="F4" s="3" t="n">
        <v>9</v>
      </c>
      <c r="G4" s="4" t="n">
        <v>25</v>
      </c>
      <c r="H4" s="4" t="n">
        <v>37.5</v>
      </c>
      <c r="I4" s="5" t="n">
        <v>4000</v>
      </c>
      <c r="J4" s="5" t="n">
        <v>337.5</v>
      </c>
      <c r="K4" s="5" t="n">
        <v>4337.5</v>
      </c>
      <c r="L4" s="3" t="s">
        <v>17</v>
      </c>
    </row>
    <row r="5" customFormat="false" ht="15" hidden="false" customHeight="false" outlineLevel="0" collapsed="false">
      <c r="A5" s="6" t="s">
        <v>18</v>
      </c>
      <c r="B5" s="6" t="s">
        <v>14</v>
      </c>
      <c r="C5" s="6" t="s">
        <v>19</v>
      </c>
      <c r="D5" s="6" t="s">
        <v>16</v>
      </c>
      <c r="E5" s="6" t="n">
        <v>144</v>
      </c>
      <c r="F5" s="6" t="n">
        <v>6</v>
      </c>
      <c r="G5" s="7" t="n">
        <v>22</v>
      </c>
      <c r="H5" s="7" t="n">
        <v>33</v>
      </c>
      <c r="I5" s="8" t="n">
        <v>3168</v>
      </c>
      <c r="J5" s="8" t="n">
        <v>198</v>
      </c>
      <c r="K5" s="8" t="n">
        <v>3366</v>
      </c>
      <c r="L5" s="6" t="s">
        <v>17</v>
      </c>
    </row>
    <row r="6" customFormat="false" ht="15" hidden="false" customHeight="false" outlineLevel="0" collapsed="false">
      <c r="A6" s="3" t="s">
        <v>20</v>
      </c>
      <c r="B6" s="3" t="s">
        <v>14</v>
      </c>
      <c r="C6" s="3" t="s">
        <v>21</v>
      </c>
      <c r="D6" s="3" t="s">
        <v>16</v>
      </c>
      <c r="E6" s="3" t="n">
        <v>172</v>
      </c>
      <c r="F6" s="3" t="n">
        <v>13</v>
      </c>
      <c r="G6" s="4" t="n">
        <v>18</v>
      </c>
      <c r="H6" s="4" t="n">
        <v>27</v>
      </c>
      <c r="I6" s="5" t="n">
        <v>3096</v>
      </c>
      <c r="J6" s="5" t="n">
        <v>351</v>
      </c>
      <c r="K6" s="5" t="n">
        <v>3447</v>
      </c>
      <c r="L6" s="3" t="s">
        <v>17</v>
      </c>
    </row>
    <row r="7" customFormat="false" ht="15" hidden="false" customHeight="false" outlineLevel="0" collapsed="false">
      <c r="A7" s="6" t="s">
        <v>22</v>
      </c>
      <c r="B7" s="6" t="s">
        <v>23</v>
      </c>
      <c r="C7" s="6" t="s">
        <v>15</v>
      </c>
      <c r="D7" s="6" t="s">
        <v>16</v>
      </c>
      <c r="E7" s="6" t="n">
        <v>166</v>
      </c>
      <c r="F7" s="6" t="n">
        <v>4</v>
      </c>
      <c r="G7" s="7" t="n">
        <v>20</v>
      </c>
      <c r="H7" s="7" t="n">
        <v>30</v>
      </c>
      <c r="I7" s="8" t="n">
        <v>3320</v>
      </c>
      <c r="J7" s="8" t="n">
        <v>120</v>
      </c>
      <c r="K7" s="8" t="n">
        <v>3440</v>
      </c>
      <c r="L7" s="6" t="s">
        <v>17</v>
      </c>
    </row>
    <row r="8" customFormat="false" ht="15" hidden="false" customHeight="false" outlineLevel="0" collapsed="false">
      <c r="A8" s="3" t="s">
        <v>24</v>
      </c>
      <c r="B8" s="3" t="s">
        <v>23</v>
      </c>
      <c r="C8" s="3" t="s">
        <v>19</v>
      </c>
      <c r="D8" s="3" t="s">
        <v>16</v>
      </c>
      <c r="E8" s="3" t="n">
        <v>167</v>
      </c>
      <c r="F8" s="3" t="n">
        <v>3</v>
      </c>
      <c r="G8" s="4" t="n">
        <v>28</v>
      </c>
      <c r="H8" s="4" t="n">
        <v>42</v>
      </c>
      <c r="I8" s="5" t="n">
        <v>4676</v>
      </c>
      <c r="J8" s="5" t="n">
        <v>126</v>
      </c>
      <c r="K8" s="5" t="n">
        <v>4802</v>
      </c>
      <c r="L8" s="3" t="s">
        <v>17</v>
      </c>
    </row>
    <row r="9" customFormat="false" ht="15" hidden="false" customHeight="false" outlineLevel="0" collapsed="false">
      <c r="A9" s="6" t="s">
        <v>25</v>
      </c>
      <c r="B9" s="6" t="s">
        <v>23</v>
      </c>
      <c r="C9" s="6" t="s">
        <v>21</v>
      </c>
      <c r="D9" s="6" t="s">
        <v>16</v>
      </c>
      <c r="E9" s="6" t="n">
        <v>154</v>
      </c>
      <c r="F9" s="6" t="n">
        <v>3</v>
      </c>
      <c r="G9" s="7" t="n">
        <v>28</v>
      </c>
      <c r="H9" s="7" t="n">
        <v>42</v>
      </c>
      <c r="I9" s="8" t="n">
        <v>4312</v>
      </c>
      <c r="J9" s="8" t="n">
        <v>126</v>
      </c>
      <c r="K9" s="8" t="n">
        <v>4438</v>
      </c>
      <c r="L9" s="6" t="s">
        <v>17</v>
      </c>
    </row>
    <row r="10" customFormat="false" ht="15" hidden="false" customHeight="false" outlineLevel="0" collapsed="false">
      <c r="A10" s="3" t="s">
        <v>26</v>
      </c>
      <c r="B10" s="3" t="s">
        <v>27</v>
      </c>
      <c r="C10" s="3" t="s">
        <v>15</v>
      </c>
      <c r="D10" s="3" t="s">
        <v>16</v>
      </c>
      <c r="E10" s="3" t="n">
        <v>143</v>
      </c>
      <c r="F10" s="3" t="n">
        <v>14</v>
      </c>
      <c r="G10" s="4" t="n">
        <v>18</v>
      </c>
      <c r="H10" s="4" t="n">
        <v>27</v>
      </c>
      <c r="I10" s="5" t="n">
        <v>2574</v>
      </c>
      <c r="J10" s="5" t="n">
        <v>378</v>
      </c>
      <c r="K10" s="5" t="n">
        <v>2952</v>
      </c>
      <c r="L10" s="3" t="s">
        <v>17</v>
      </c>
    </row>
    <row r="11" customFormat="false" ht="15" hidden="false" customHeight="false" outlineLevel="0" collapsed="false">
      <c r="A11" s="6" t="s">
        <v>28</v>
      </c>
      <c r="B11" s="6" t="s">
        <v>27</v>
      </c>
      <c r="C11" s="6" t="s">
        <v>19</v>
      </c>
      <c r="D11" s="6" t="s">
        <v>16</v>
      </c>
      <c r="E11" s="6" t="n">
        <v>148</v>
      </c>
      <c r="F11" s="6" t="n">
        <v>18</v>
      </c>
      <c r="G11" s="7" t="n">
        <v>25</v>
      </c>
      <c r="H11" s="7" t="n">
        <v>37.5</v>
      </c>
      <c r="I11" s="8" t="n">
        <v>3700</v>
      </c>
      <c r="J11" s="8" t="n">
        <v>675</v>
      </c>
      <c r="K11" s="8" t="n">
        <v>4375</v>
      </c>
      <c r="L11" s="6" t="s">
        <v>17</v>
      </c>
    </row>
    <row r="12" customFormat="false" ht="15" hidden="false" customHeight="false" outlineLevel="0" collapsed="false">
      <c r="A12" s="3" t="s">
        <v>29</v>
      </c>
      <c r="B12" s="3" t="s">
        <v>27</v>
      </c>
      <c r="C12" s="3" t="s">
        <v>21</v>
      </c>
      <c r="D12" s="3" t="s">
        <v>16</v>
      </c>
      <c r="E12" s="3" t="n">
        <v>147</v>
      </c>
      <c r="F12" s="3" t="n">
        <v>19</v>
      </c>
      <c r="G12" s="4" t="n">
        <v>28</v>
      </c>
      <c r="H12" s="4" t="n">
        <v>42</v>
      </c>
      <c r="I12" s="5" t="n">
        <v>4116</v>
      </c>
      <c r="J12" s="5" t="n">
        <v>798</v>
      </c>
      <c r="K12" s="5" t="n">
        <v>4914</v>
      </c>
      <c r="L12" s="3" t="s">
        <v>30</v>
      </c>
    </row>
    <row r="13" customFormat="false" ht="15" hidden="false" customHeight="false" outlineLevel="0" collapsed="false">
      <c r="A13" s="6" t="s">
        <v>31</v>
      </c>
      <c r="B13" s="6" t="s">
        <v>32</v>
      </c>
      <c r="C13" s="6" t="s">
        <v>15</v>
      </c>
      <c r="D13" s="6" t="s">
        <v>16</v>
      </c>
      <c r="E13" s="6" t="n">
        <v>151</v>
      </c>
      <c r="F13" s="6" t="n">
        <v>6</v>
      </c>
      <c r="G13" s="7" t="n">
        <v>28</v>
      </c>
      <c r="H13" s="7" t="n">
        <v>42</v>
      </c>
      <c r="I13" s="8" t="n">
        <v>4228</v>
      </c>
      <c r="J13" s="8" t="n">
        <v>252</v>
      </c>
      <c r="K13" s="8" t="n">
        <v>4480</v>
      </c>
      <c r="L13" s="6" t="s">
        <v>17</v>
      </c>
    </row>
    <row r="14" customFormat="false" ht="15" hidden="false" customHeight="false" outlineLevel="0" collapsed="false">
      <c r="A14" s="3" t="s">
        <v>33</v>
      </c>
      <c r="B14" s="3" t="s">
        <v>32</v>
      </c>
      <c r="C14" s="3" t="s">
        <v>19</v>
      </c>
      <c r="D14" s="3" t="s">
        <v>16</v>
      </c>
      <c r="E14" s="3" t="n">
        <v>152</v>
      </c>
      <c r="F14" s="3" t="n">
        <v>23</v>
      </c>
      <c r="G14" s="4" t="n">
        <v>18</v>
      </c>
      <c r="H14" s="4" t="n">
        <v>27</v>
      </c>
      <c r="I14" s="5" t="n">
        <v>2736</v>
      </c>
      <c r="J14" s="5" t="n">
        <v>621</v>
      </c>
      <c r="K14" s="5" t="n">
        <v>3357</v>
      </c>
      <c r="L14" s="3" t="s">
        <v>17</v>
      </c>
    </row>
    <row r="15" customFormat="false" ht="15" hidden="false" customHeight="false" outlineLevel="0" collapsed="false">
      <c r="A15" s="6" t="s">
        <v>34</v>
      </c>
      <c r="B15" s="6" t="s">
        <v>32</v>
      </c>
      <c r="C15" s="6" t="s">
        <v>21</v>
      </c>
      <c r="D15" s="6" t="s">
        <v>16</v>
      </c>
      <c r="E15" s="6" t="n">
        <v>144</v>
      </c>
      <c r="F15" s="6" t="n">
        <v>3</v>
      </c>
      <c r="G15" s="7" t="n">
        <v>28</v>
      </c>
      <c r="H15" s="7" t="n">
        <v>42</v>
      </c>
      <c r="I15" s="8" t="n">
        <v>4032</v>
      </c>
      <c r="J15" s="8" t="n">
        <v>126</v>
      </c>
      <c r="K15" s="8" t="n">
        <v>4158</v>
      </c>
      <c r="L15" s="6" t="s">
        <v>17</v>
      </c>
    </row>
    <row r="16" customFormat="false" ht="15" hidden="false" customHeight="false" outlineLevel="0" collapsed="false">
      <c r="A16" s="3" t="s">
        <v>35</v>
      </c>
      <c r="B16" s="3" t="s">
        <v>36</v>
      </c>
      <c r="C16" s="3" t="s">
        <v>15</v>
      </c>
      <c r="D16" s="3" t="s">
        <v>16</v>
      </c>
      <c r="E16" s="3" t="n">
        <v>174</v>
      </c>
      <c r="F16" s="3" t="n">
        <v>27</v>
      </c>
      <c r="G16" s="4" t="n">
        <v>22</v>
      </c>
      <c r="H16" s="4" t="n">
        <v>33</v>
      </c>
      <c r="I16" s="5" t="n">
        <v>3828</v>
      </c>
      <c r="J16" s="5" t="n">
        <v>891</v>
      </c>
      <c r="K16" s="5" t="n">
        <v>4719</v>
      </c>
      <c r="L16" s="3" t="s">
        <v>17</v>
      </c>
    </row>
    <row r="17" customFormat="false" ht="15" hidden="false" customHeight="false" outlineLevel="0" collapsed="false">
      <c r="A17" s="6" t="s">
        <v>37</v>
      </c>
      <c r="B17" s="6" t="s">
        <v>36</v>
      </c>
      <c r="C17" s="6" t="s">
        <v>19</v>
      </c>
      <c r="D17" s="6" t="s">
        <v>16</v>
      </c>
      <c r="E17" s="6" t="n">
        <v>169</v>
      </c>
      <c r="F17" s="6" t="n">
        <v>23</v>
      </c>
      <c r="G17" s="7" t="n">
        <v>22</v>
      </c>
      <c r="H17" s="7" t="n">
        <v>33</v>
      </c>
      <c r="I17" s="8" t="n">
        <v>3718</v>
      </c>
      <c r="J17" s="8" t="n">
        <v>759</v>
      </c>
      <c r="K17" s="8" t="n">
        <v>4477</v>
      </c>
      <c r="L17" s="6" t="s">
        <v>17</v>
      </c>
    </row>
    <row r="18" customFormat="false" ht="15" hidden="false" customHeight="false" outlineLevel="0" collapsed="false">
      <c r="A18" s="3" t="s">
        <v>38</v>
      </c>
      <c r="B18" s="3" t="s">
        <v>36</v>
      </c>
      <c r="C18" s="3" t="s">
        <v>21</v>
      </c>
      <c r="D18" s="3" t="s">
        <v>16</v>
      </c>
      <c r="E18" s="3" t="n">
        <v>151</v>
      </c>
      <c r="F18" s="3" t="n">
        <v>15</v>
      </c>
      <c r="G18" s="4" t="n">
        <v>18</v>
      </c>
      <c r="H18" s="4" t="n">
        <v>27</v>
      </c>
      <c r="I18" s="5" t="n">
        <v>2718</v>
      </c>
      <c r="J18" s="5" t="n">
        <v>405</v>
      </c>
      <c r="K18" s="5" t="n">
        <v>3123</v>
      </c>
      <c r="L18" s="3" t="s">
        <v>17</v>
      </c>
    </row>
    <row r="19" customFormat="false" ht="15" hidden="false" customHeight="false" outlineLevel="0" collapsed="false">
      <c r="A19" s="6" t="s">
        <v>39</v>
      </c>
      <c r="B19" s="6" t="s">
        <v>14</v>
      </c>
      <c r="C19" s="6" t="s">
        <v>15</v>
      </c>
      <c r="D19" s="6" t="s">
        <v>40</v>
      </c>
      <c r="E19" s="6" t="n">
        <v>173</v>
      </c>
      <c r="F19" s="6" t="n">
        <v>31</v>
      </c>
      <c r="G19" s="7" t="n">
        <v>22</v>
      </c>
      <c r="H19" s="7" t="n">
        <v>33</v>
      </c>
      <c r="I19" s="8" t="n">
        <v>3806</v>
      </c>
      <c r="J19" s="8" t="n">
        <v>1023</v>
      </c>
      <c r="K19" s="8" t="n">
        <v>4829</v>
      </c>
      <c r="L19" s="6" t="s">
        <v>17</v>
      </c>
    </row>
    <row r="20" customFormat="false" ht="15" hidden="false" customHeight="false" outlineLevel="0" collapsed="false">
      <c r="A20" s="3" t="s">
        <v>41</v>
      </c>
      <c r="B20" s="3" t="s">
        <v>14</v>
      </c>
      <c r="C20" s="3" t="s">
        <v>19</v>
      </c>
      <c r="D20" s="3" t="s">
        <v>40</v>
      </c>
      <c r="E20" s="3" t="n">
        <v>158</v>
      </c>
      <c r="F20" s="3" t="n">
        <v>4</v>
      </c>
      <c r="G20" s="4" t="n">
        <v>18</v>
      </c>
      <c r="H20" s="4" t="n">
        <v>27</v>
      </c>
      <c r="I20" s="5" t="n">
        <v>2844</v>
      </c>
      <c r="J20" s="5" t="n">
        <v>108</v>
      </c>
      <c r="K20" s="5" t="n">
        <v>2952</v>
      </c>
      <c r="L20" s="3" t="s">
        <v>17</v>
      </c>
    </row>
    <row r="21" customFormat="false" ht="15" hidden="false" customHeight="false" outlineLevel="0" collapsed="false">
      <c r="A21" s="6" t="s">
        <v>42</v>
      </c>
      <c r="B21" s="6" t="s">
        <v>14</v>
      </c>
      <c r="C21" s="6" t="s">
        <v>21</v>
      </c>
      <c r="D21" s="6" t="s">
        <v>40</v>
      </c>
      <c r="E21" s="6" t="n">
        <v>150</v>
      </c>
      <c r="F21" s="6" t="n">
        <v>21</v>
      </c>
      <c r="G21" s="7" t="n">
        <v>20</v>
      </c>
      <c r="H21" s="7" t="n">
        <v>30</v>
      </c>
      <c r="I21" s="8" t="n">
        <v>3000</v>
      </c>
      <c r="J21" s="8" t="n">
        <v>630</v>
      </c>
      <c r="K21" s="8" t="n">
        <v>3630</v>
      </c>
      <c r="L21" s="6" t="s">
        <v>30</v>
      </c>
    </row>
    <row r="22" customFormat="false" ht="15" hidden="false" customHeight="false" outlineLevel="0" collapsed="false">
      <c r="A22" s="3" t="s">
        <v>43</v>
      </c>
      <c r="B22" s="3" t="s">
        <v>23</v>
      </c>
      <c r="C22" s="3" t="s">
        <v>15</v>
      </c>
      <c r="D22" s="3" t="s">
        <v>40</v>
      </c>
      <c r="E22" s="3" t="n">
        <v>166</v>
      </c>
      <c r="F22" s="3" t="n">
        <v>2</v>
      </c>
      <c r="G22" s="4" t="n">
        <v>32</v>
      </c>
      <c r="H22" s="4" t="n">
        <v>48</v>
      </c>
      <c r="I22" s="5" t="n">
        <v>5312</v>
      </c>
      <c r="J22" s="5" t="n">
        <v>96</v>
      </c>
      <c r="K22" s="5" t="n">
        <v>5408</v>
      </c>
      <c r="L22" s="3" t="s">
        <v>17</v>
      </c>
    </row>
    <row r="23" customFormat="false" ht="15" hidden="false" customHeight="false" outlineLevel="0" collapsed="false">
      <c r="A23" s="6" t="s">
        <v>44</v>
      </c>
      <c r="B23" s="6" t="s">
        <v>23</v>
      </c>
      <c r="C23" s="6" t="s">
        <v>19</v>
      </c>
      <c r="D23" s="6" t="s">
        <v>40</v>
      </c>
      <c r="E23" s="6" t="n">
        <v>175</v>
      </c>
      <c r="F23" s="6" t="n">
        <v>20</v>
      </c>
      <c r="G23" s="7" t="n">
        <v>22</v>
      </c>
      <c r="H23" s="7" t="n">
        <v>33</v>
      </c>
      <c r="I23" s="8" t="n">
        <v>3850</v>
      </c>
      <c r="J23" s="8" t="n">
        <v>660</v>
      </c>
      <c r="K23" s="8" t="n">
        <v>4510</v>
      </c>
      <c r="L23" s="6" t="s">
        <v>17</v>
      </c>
    </row>
    <row r="24" customFormat="false" ht="15" hidden="false" customHeight="false" outlineLevel="0" collapsed="false">
      <c r="A24" s="3" t="s">
        <v>45</v>
      </c>
      <c r="B24" s="3" t="s">
        <v>23</v>
      </c>
      <c r="C24" s="3" t="s">
        <v>21</v>
      </c>
      <c r="D24" s="3" t="s">
        <v>40</v>
      </c>
      <c r="E24" s="3" t="n">
        <v>171</v>
      </c>
      <c r="F24" s="3" t="n">
        <v>29</v>
      </c>
      <c r="G24" s="4" t="n">
        <v>18</v>
      </c>
      <c r="H24" s="4" t="n">
        <v>27</v>
      </c>
      <c r="I24" s="5" t="n">
        <v>3078</v>
      </c>
      <c r="J24" s="5" t="n">
        <v>783</v>
      </c>
      <c r="K24" s="5" t="n">
        <v>3861</v>
      </c>
      <c r="L24" s="3" t="s">
        <v>30</v>
      </c>
    </row>
    <row r="25" customFormat="false" ht="15" hidden="false" customHeight="false" outlineLevel="0" collapsed="false">
      <c r="A25" s="6" t="s">
        <v>46</v>
      </c>
      <c r="B25" s="6" t="s">
        <v>27</v>
      </c>
      <c r="C25" s="6" t="s">
        <v>15</v>
      </c>
      <c r="D25" s="6" t="s">
        <v>40</v>
      </c>
      <c r="E25" s="6" t="n">
        <v>157</v>
      </c>
      <c r="F25" s="6" t="n">
        <v>30</v>
      </c>
      <c r="G25" s="7" t="n">
        <v>32</v>
      </c>
      <c r="H25" s="7" t="n">
        <v>48</v>
      </c>
      <c r="I25" s="8" t="n">
        <v>5024</v>
      </c>
      <c r="J25" s="8" t="n">
        <v>1440</v>
      </c>
      <c r="K25" s="8" t="n">
        <v>6464</v>
      </c>
      <c r="L25" s="6" t="s">
        <v>17</v>
      </c>
    </row>
    <row r="26" customFormat="false" ht="15" hidden="false" customHeight="false" outlineLevel="0" collapsed="false">
      <c r="A26" s="3" t="s">
        <v>47</v>
      </c>
      <c r="B26" s="3" t="s">
        <v>27</v>
      </c>
      <c r="C26" s="3" t="s">
        <v>19</v>
      </c>
      <c r="D26" s="3" t="s">
        <v>40</v>
      </c>
      <c r="E26" s="3" t="n">
        <v>143</v>
      </c>
      <c r="F26" s="3" t="n">
        <v>19</v>
      </c>
      <c r="G26" s="4" t="n">
        <v>32</v>
      </c>
      <c r="H26" s="4" t="n">
        <v>48</v>
      </c>
      <c r="I26" s="5" t="n">
        <v>4576</v>
      </c>
      <c r="J26" s="5" t="n">
        <v>912</v>
      </c>
      <c r="K26" s="5" t="n">
        <v>5488</v>
      </c>
      <c r="L26" s="3" t="s">
        <v>17</v>
      </c>
    </row>
    <row r="27" customFormat="false" ht="15" hidden="false" customHeight="false" outlineLevel="0" collapsed="false">
      <c r="A27" s="6" t="s">
        <v>48</v>
      </c>
      <c r="B27" s="6" t="s">
        <v>27</v>
      </c>
      <c r="C27" s="6" t="s">
        <v>21</v>
      </c>
      <c r="D27" s="6" t="s">
        <v>40</v>
      </c>
      <c r="E27" s="6" t="n">
        <v>168</v>
      </c>
      <c r="F27" s="6" t="n">
        <v>18</v>
      </c>
      <c r="G27" s="7" t="n">
        <v>32</v>
      </c>
      <c r="H27" s="7" t="n">
        <v>48</v>
      </c>
      <c r="I27" s="8" t="n">
        <v>5376</v>
      </c>
      <c r="J27" s="8" t="n">
        <v>864</v>
      </c>
      <c r="K27" s="8" t="n">
        <v>6240</v>
      </c>
      <c r="L27" s="6" t="s">
        <v>17</v>
      </c>
    </row>
    <row r="28" customFormat="false" ht="15" hidden="false" customHeight="false" outlineLevel="0" collapsed="false">
      <c r="A28" s="3" t="s">
        <v>49</v>
      </c>
      <c r="B28" s="3" t="s">
        <v>32</v>
      </c>
      <c r="C28" s="3" t="s">
        <v>15</v>
      </c>
      <c r="D28" s="3" t="s">
        <v>40</v>
      </c>
      <c r="E28" s="3" t="n">
        <v>162</v>
      </c>
      <c r="F28" s="3" t="n">
        <v>1</v>
      </c>
      <c r="G28" s="4" t="n">
        <v>25</v>
      </c>
      <c r="H28" s="4" t="n">
        <v>37.5</v>
      </c>
      <c r="I28" s="5" t="n">
        <v>4050</v>
      </c>
      <c r="J28" s="5" t="n">
        <v>37.5</v>
      </c>
      <c r="K28" s="5" t="n">
        <v>4087.5</v>
      </c>
      <c r="L28" s="3" t="s">
        <v>17</v>
      </c>
    </row>
    <row r="29" customFormat="false" ht="15" hidden="false" customHeight="false" outlineLevel="0" collapsed="false">
      <c r="A29" s="6" t="s">
        <v>50</v>
      </c>
      <c r="B29" s="6" t="s">
        <v>32</v>
      </c>
      <c r="C29" s="6" t="s">
        <v>19</v>
      </c>
      <c r="D29" s="6" t="s">
        <v>40</v>
      </c>
      <c r="E29" s="6" t="n">
        <v>147</v>
      </c>
      <c r="F29" s="6" t="n">
        <v>31</v>
      </c>
      <c r="G29" s="7" t="n">
        <v>18</v>
      </c>
      <c r="H29" s="7" t="n">
        <v>27</v>
      </c>
      <c r="I29" s="8" t="n">
        <v>2646</v>
      </c>
      <c r="J29" s="8" t="n">
        <v>837</v>
      </c>
      <c r="K29" s="8" t="n">
        <v>3483</v>
      </c>
      <c r="L29" s="6" t="s">
        <v>17</v>
      </c>
    </row>
    <row r="30" customFormat="false" ht="15" hidden="false" customHeight="false" outlineLevel="0" collapsed="false">
      <c r="A30" s="3" t="s">
        <v>51</v>
      </c>
      <c r="B30" s="3" t="s">
        <v>32</v>
      </c>
      <c r="C30" s="3" t="s">
        <v>21</v>
      </c>
      <c r="D30" s="3" t="s">
        <v>40</v>
      </c>
      <c r="E30" s="3" t="n">
        <v>158</v>
      </c>
      <c r="F30" s="3" t="n">
        <v>8</v>
      </c>
      <c r="G30" s="4" t="n">
        <v>32</v>
      </c>
      <c r="H30" s="4" t="n">
        <v>48</v>
      </c>
      <c r="I30" s="5" t="n">
        <v>5056</v>
      </c>
      <c r="J30" s="5" t="n">
        <v>384</v>
      </c>
      <c r="K30" s="5" t="n">
        <v>5440</v>
      </c>
      <c r="L30" s="3" t="s">
        <v>17</v>
      </c>
    </row>
    <row r="31" customFormat="false" ht="15" hidden="false" customHeight="false" outlineLevel="0" collapsed="false">
      <c r="A31" s="6" t="s">
        <v>52</v>
      </c>
      <c r="B31" s="6" t="s">
        <v>36</v>
      </c>
      <c r="C31" s="6" t="s">
        <v>15</v>
      </c>
      <c r="D31" s="6" t="s">
        <v>40</v>
      </c>
      <c r="E31" s="6" t="n">
        <v>165</v>
      </c>
      <c r="F31" s="6" t="n">
        <v>31</v>
      </c>
      <c r="G31" s="7" t="n">
        <v>18</v>
      </c>
      <c r="H31" s="7" t="n">
        <v>27</v>
      </c>
      <c r="I31" s="8" t="n">
        <v>2970</v>
      </c>
      <c r="J31" s="8" t="n">
        <v>837</v>
      </c>
      <c r="K31" s="8" t="n">
        <v>3807</v>
      </c>
      <c r="L31" s="6" t="s">
        <v>17</v>
      </c>
    </row>
    <row r="32" customFormat="false" ht="15" hidden="false" customHeight="false" outlineLevel="0" collapsed="false">
      <c r="A32" s="3" t="s">
        <v>53</v>
      </c>
      <c r="B32" s="3" t="s">
        <v>36</v>
      </c>
      <c r="C32" s="3" t="s">
        <v>19</v>
      </c>
      <c r="D32" s="3" t="s">
        <v>40</v>
      </c>
      <c r="E32" s="3" t="n">
        <v>165</v>
      </c>
      <c r="F32" s="3" t="n">
        <v>17</v>
      </c>
      <c r="G32" s="4" t="n">
        <v>20</v>
      </c>
      <c r="H32" s="4" t="n">
        <v>30</v>
      </c>
      <c r="I32" s="5" t="n">
        <v>3300</v>
      </c>
      <c r="J32" s="5" t="n">
        <v>510</v>
      </c>
      <c r="K32" s="5" t="n">
        <v>3810</v>
      </c>
      <c r="L32" s="3" t="s">
        <v>30</v>
      </c>
    </row>
    <row r="33" customFormat="false" ht="15" hidden="false" customHeight="false" outlineLevel="0" collapsed="false">
      <c r="A33" s="6" t="s">
        <v>54</v>
      </c>
      <c r="B33" s="6" t="s">
        <v>36</v>
      </c>
      <c r="C33" s="6" t="s">
        <v>21</v>
      </c>
      <c r="D33" s="6" t="s">
        <v>40</v>
      </c>
      <c r="E33" s="6" t="n">
        <v>175</v>
      </c>
      <c r="F33" s="6" t="n">
        <v>17</v>
      </c>
      <c r="G33" s="7" t="n">
        <v>32</v>
      </c>
      <c r="H33" s="7" t="n">
        <v>48</v>
      </c>
      <c r="I33" s="8" t="n">
        <v>5600</v>
      </c>
      <c r="J33" s="8" t="n">
        <v>816</v>
      </c>
      <c r="K33" s="8" t="n">
        <v>6416</v>
      </c>
      <c r="L33" s="6" t="s">
        <v>17</v>
      </c>
    </row>
    <row r="34" customFormat="false" ht="15" hidden="false" customHeight="false" outlineLevel="0" collapsed="false">
      <c r="A34" s="3" t="s">
        <v>55</v>
      </c>
      <c r="B34" s="3" t="s">
        <v>14</v>
      </c>
      <c r="C34" s="3" t="s">
        <v>15</v>
      </c>
      <c r="D34" s="3" t="s">
        <v>56</v>
      </c>
      <c r="E34" s="3" t="n">
        <v>162</v>
      </c>
      <c r="F34" s="3" t="n">
        <v>24</v>
      </c>
      <c r="G34" s="4" t="n">
        <v>20</v>
      </c>
      <c r="H34" s="4" t="n">
        <v>30</v>
      </c>
      <c r="I34" s="5" t="n">
        <v>3240</v>
      </c>
      <c r="J34" s="5" t="n">
        <v>720</v>
      </c>
      <c r="K34" s="5" t="n">
        <v>3960</v>
      </c>
      <c r="L34" s="3" t="s">
        <v>17</v>
      </c>
    </row>
    <row r="35" customFormat="false" ht="15" hidden="false" customHeight="false" outlineLevel="0" collapsed="false">
      <c r="A35" s="6" t="s">
        <v>57</v>
      </c>
      <c r="B35" s="6" t="s">
        <v>14</v>
      </c>
      <c r="C35" s="6" t="s">
        <v>19</v>
      </c>
      <c r="D35" s="6" t="s">
        <v>56</v>
      </c>
      <c r="E35" s="6" t="n">
        <v>151</v>
      </c>
      <c r="F35" s="6" t="n">
        <v>9</v>
      </c>
      <c r="G35" s="7" t="n">
        <v>20</v>
      </c>
      <c r="H35" s="7" t="n">
        <v>30</v>
      </c>
      <c r="I35" s="8" t="n">
        <v>3020</v>
      </c>
      <c r="J35" s="8" t="n">
        <v>270</v>
      </c>
      <c r="K35" s="8" t="n">
        <v>3290</v>
      </c>
      <c r="L35" s="6" t="s">
        <v>17</v>
      </c>
    </row>
    <row r="36" customFormat="false" ht="15" hidden="false" customHeight="false" outlineLevel="0" collapsed="false">
      <c r="A36" s="3" t="s">
        <v>58</v>
      </c>
      <c r="B36" s="3" t="s">
        <v>14</v>
      </c>
      <c r="C36" s="3" t="s">
        <v>21</v>
      </c>
      <c r="D36" s="3" t="s">
        <v>56</v>
      </c>
      <c r="E36" s="3" t="n">
        <v>140</v>
      </c>
      <c r="F36" s="3" t="n">
        <v>31</v>
      </c>
      <c r="G36" s="4" t="n">
        <v>28</v>
      </c>
      <c r="H36" s="4" t="n">
        <v>42</v>
      </c>
      <c r="I36" s="5" t="n">
        <v>3920</v>
      </c>
      <c r="J36" s="5" t="n">
        <v>1302</v>
      </c>
      <c r="K36" s="5" t="n">
        <v>5222</v>
      </c>
      <c r="L36" s="3" t="s">
        <v>17</v>
      </c>
    </row>
    <row r="37" customFormat="false" ht="15" hidden="false" customHeight="false" outlineLevel="0" collapsed="false">
      <c r="A37" s="6" t="s">
        <v>59</v>
      </c>
      <c r="B37" s="6" t="s">
        <v>23</v>
      </c>
      <c r="C37" s="6" t="s">
        <v>15</v>
      </c>
      <c r="D37" s="6" t="s">
        <v>56</v>
      </c>
      <c r="E37" s="6" t="n">
        <v>158</v>
      </c>
      <c r="F37" s="6" t="n">
        <v>0</v>
      </c>
      <c r="G37" s="7" t="n">
        <v>20</v>
      </c>
      <c r="H37" s="7" t="n">
        <v>30</v>
      </c>
      <c r="I37" s="8" t="n">
        <v>3160</v>
      </c>
      <c r="J37" s="8" t="n">
        <v>0</v>
      </c>
      <c r="K37" s="8" t="n">
        <v>3160</v>
      </c>
      <c r="L37" s="6" t="s">
        <v>17</v>
      </c>
    </row>
    <row r="38" customFormat="false" ht="15" hidden="false" customHeight="false" outlineLevel="0" collapsed="false">
      <c r="A38" s="3" t="s">
        <v>60</v>
      </c>
      <c r="B38" s="3" t="s">
        <v>23</v>
      </c>
      <c r="C38" s="3" t="s">
        <v>19</v>
      </c>
      <c r="D38" s="3" t="s">
        <v>56</v>
      </c>
      <c r="E38" s="3" t="n">
        <v>163</v>
      </c>
      <c r="F38" s="3" t="n">
        <v>20</v>
      </c>
      <c r="G38" s="4" t="n">
        <v>20</v>
      </c>
      <c r="H38" s="4" t="n">
        <v>30</v>
      </c>
      <c r="I38" s="5" t="n">
        <v>3260</v>
      </c>
      <c r="J38" s="5" t="n">
        <v>600</v>
      </c>
      <c r="K38" s="5" t="n">
        <v>3860</v>
      </c>
      <c r="L38" s="3" t="s">
        <v>17</v>
      </c>
    </row>
    <row r="39" customFormat="false" ht="15" hidden="false" customHeight="false" outlineLevel="0" collapsed="false">
      <c r="A39" s="6" t="s">
        <v>61</v>
      </c>
      <c r="B39" s="6" t="s">
        <v>23</v>
      </c>
      <c r="C39" s="6" t="s">
        <v>21</v>
      </c>
      <c r="D39" s="6" t="s">
        <v>56</v>
      </c>
      <c r="E39" s="6" t="n">
        <v>172</v>
      </c>
      <c r="F39" s="6" t="n">
        <v>3</v>
      </c>
      <c r="G39" s="7" t="n">
        <v>25</v>
      </c>
      <c r="H39" s="7" t="n">
        <v>37.5</v>
      </c>
      <c r="I39" s="8" t="n">
        <v>4300</v>
      </c>
      <c r="J39" s="8" t="n">
        <v>112.5</v>
      </c>
      <c r="K39" s="8" t="n">
        <v>4412.5</v>
      </c>
      <c r="L39" s="6" t="s">
        <v>30</v>
      </c>
    </row>
    <row r="40" customFormat="false" ht="15" hidden="false" customHeight="false" outlineLevel="0" collapsed="false">
      <c r="A40" s="3" t="s">
        <v>62</v>
      </c>
      <c r="B40" s="3" t="s">
        <v>27</v>
      </c>
      <c r="C40" s="3" t="s">
        <v>15</v>
      </c>
      <c r="D40" s="3" t="s">
        <v>56</v>
      </c>
      <c r="E40" s="3" t="n">
        <v>175</v>
      </c>
      <c r="F40" s="3" t="n">
        <v>25</v>
      </c>
      <c r="G40" s="4" t="n">
        <v>25</v>
      </c>
      <c r="H40" s="4" t="n">
        <v>37.5</v>
      </c>
      <c r="I40" s="5" t="n">
        <v>4375</v>
      </c>
      <c r="J40" s="5" t="n">
        <v>937.5</v>
      </c>
      <c r="K40" s="5" t="n">
        <v>5312.5</v>
      </c>
      <c r="L40" s="3" t="s">
        <v>17</v>
      </c>
    </row>
    <row r="41" customFormat="false" ht="15" hidden="false" customHeight="false" outlineLevel="0" collapsed="false">
      <c r="A41" s="6" t="s">
        <v>63</v>
      </c>
      <c r="B41" s="6" t="s">
        <v>27</v>
      </c>
      <c r="C41" s="6" t="s">
        <v>19</v>
      </c>
      <c r="D41" s="6" t="s">
        <v>56</v>
      </c>
      <c r="E41" s="6" t="n">
        <v>146</v>
      </c>
      <c r="F41" s="6" t="n">
        <v>30</v>
      </c>
      <c r="G41" s="7" t="n">
        <v>32</v>
      </c>
      <c r="H41" s="7" t="n">
        <v>48</v>
      </c>
      <c r="I41" s="8" t="n">
        <v>4672</v>
      </c>
      <c r="J41" s="8" t="n">
        <v>1440</v>
      </c>
      <c r="K41" s="8" t="n">
        <v>6112</v>
      </c>
      <c r="L41" s="6" t="s">
        <v>17</v>
      </c>
    </row>
    <row r="42" customFormat="false" ht="15" hidden="false" customHeight="false" outlineLevel="0" collapsed="false">
      <c r="A42" s="3" t="s">
        <v>64</v>
      </c>
      <c r="B42" s="3" t="s">
        <v>27</v>
      </c>
      <c r="C42" s="3" t="s">
        <v>21</v>
      </c>
      <c r="D42" s="3" t="s">
        <v>56</v>
      </c>
      <c r="E42" s="3" t="n">
        <v>152</v>
      </c>
      <c r="F42" s="3" t="n">
        <v>4</v>
      </c>
      <c r="G42" s="4" t="n">
        <v>20</v>
      </c>
      <c r="H42" s="4" t="n">
        <v>30</v>
      </c>
      <c r="I42" s="5" t="n">
        <v>3040</v>
      </c>
      <c r="J42" s="5" t="n">
        <v>120</v>
      </c>
      <c r="K42" s="5" t="n">
        <v>3160</v>
      </c>
      <c r="L42" s="3" t="s">
        <v>17</v>
      </c>
    </row>
    <row r="43" customFormat="false" ht="15" hidden="false" customHeight="false" outlineLevel="0" collapsed="false">
      <c r="A43" s="6" t="s">
        <v>65</v>
      </c>
      <c r="B43" s="6" t="s">
        <v>32</v>
      </c>
      <c r="C43" s="6" t="s">
        <v>15</v>
      </c>
      <c r="D43" s="6" t="s">
        <v>56</v>
      </c>
      <c r="E43" s="6" t="n">
        <v>147</v>
      </c>
      <c r="F43" s="6" t="n">
        <v>21</v>
      </c>
      <c r="G43" s="7" t="n">
        <v>28</v>
      </c>
      <c r="H43" s="7" t="n">
        <v>42</v>
      </c>
      <c r="I43" s="8" t="n">
        <v>4116</v>
      </c>
      <c r="J43" s="8" t="n">
        <v>882</v>
      </c>
      <c r="K43" s="8" t="n">
        <v>4998</v>
      </c>
      <c r="L43" s="6" t="s">
        <v>17</v>
      </c>
    </row>
    <row r="44" customFormat="false" ht="15" hidden="false" customHeight="false" outlineLevel="0" collapsed="false">
      <c r="A44" s="3" t="s">
        <v>66</v>
      </c>
      <c r="B44" s="3" t="s">
        <v>32</v>
      </c>
      <c r="C44" s="3" t="s">
        <v>19</v>
      </c>
      <c r="D44" s="3" t="s">
        <v>56</v>
      </c>
      <c r="E44" s="3" t="n">
        <v>140</v>
      </c>
      <c r="F44" s="3" t="n">
        <v>9</v>
      </c>
      <c r="G44" s="4" t="n">
        <v>28</v>
      </c>
      <c r="H44" s="4" t="n">
        <v>42</v>
      </c>
      <c r="I44" s="5" t="n">
        <v>3920</v>
      </c>
      <c r="J44" s="5" t="n">
        <v>378</v>
      </c>
      <c r="K44" s="5" t="n">
        <v>4298</v>
      </c>
      <c r="L44" s="3" t="s">
        <v>17</v>
      </c>
    </row>
    <row r="45" customFormat="false" ht="15" hidden="false" customHeight="false" outlineLevel="0" collapsed="false">
      <c r="A45" s="6" t="s">
        <v>67</v>
      </c>
      <c r="B45" s="6" t="s">
        <v>32</v>
      </c>
      <c r="C45" s="6" t="s">
        <v>21</v>
      </c>
      <c r="D45" s="6" t="s">
        <v>56</v>
      </c>
      <c r="E45" s="6" t="n">
        <v>163</v>
      </c>
      <c r="F45" s="6" t="n">
        <v>1</v>
      </c>
      <c r="G45" s="7" t="n">
        <v>18</v>
      </c>
      <c r="H45" s="7" t="n">
        <v>27</v>
      </c>
      <c r="I45" s="8" t="n">
        <v>2934</v>
      </c>
      <c r="J45" s="8" t="n">
        <v>27</v>
      </c>
      <c r="K45" s="8" t="n">
        <v>2961</v>
      </c>
      <c r="L45" s="6" t="s">
        <v>30</v>
      </c>
    </row>
    <row r="46" customFormat="false" ht="15" hidden="false" customHeight="false" outlineLevel="0" collapsed="false">
      <c r="A46" s="3" t="s">
        <v>68</v>
      </c>
      <c r="B46" s="3" t="s">
        <v>36</v>
      </c>
      <c r="C46" s="3" t="s">
        <v>15</v>
      </c>
      <c r="D46" s="3" t="s">
        <v>56</v>
      </c>
      <c r="E46" s="3" t="n">
        <v>164</v>
      </c>
      <c r="F46" s="3" t="n">
        <v>9</v>
      </c>
      <c r="G46" s="4" t="n">
        <v>32</v>
      </c>
      <c r="H46" s="4" t="n">
        <v>48</v>
      </c>
      <c r="I46" s="5" t="n">
        <v>5248</v>
      </c>
      <c r="J46" s="5" t="n">
        <v>432</v>
      </c>
      <c r="K46" s="5" t="n">
        <v>5680</v>
      </c>
      <c r="L46" s="3" t="s">
        <v>17</v>
      </c>
    </row>
    <row r="47" customFormat="false" ht="15" hidden="false" customHeight="false" outlineLevel="0" collapsed="false">
      <c r="A47" s="6" t="s">
        <v>69</v>
      </c>
      <c r="B47" s="6" t="s">
        <v>36</v>
      </c>
      <c r="C47" s="6" t="s">
        <v>19</v>
      </c>
      <c r="D47" s="6" t="s">
        <v>56</v>
      </c>
      <c r="E47" s="6" t="n">
        <v>162</v>
      </c>
      <c r="F47" s="6" t="n">
        <v>23</v>
      </c>
      <c r="G47" s="7" t="n">
        <v>25</v>
      </c>
      <c r="H47" s="7" t="n">
        <v>37.5</v>
      </c>
      <c r="I47" s="8" t="n">
        <v>4050</v>
      </c>
      <c r="J47" s="8" t="n">
        <v>862.5</v>
      </c>
      <c r="K47" s="8" t="n">
        <v>4912.5</v>
      </c>
      <c r="L47" s="6" t="s">
        <v>17</v>
      </c>
    </row>
    <row r="48" customFormat="false" ht="15" hidden="false" customHeight="false" outlineLevel="0" collapsed="false">
      <c r="A48" s="3" t="s">
        <v>70</v>
      </c>
      <c r="B48" s="3" t="s">
        <v>36</v>
      </c>
      <c r="C48" s="3" t="s">
        <v>21</v>
      </c>
      <c r="D48" s="3" t="s">
        <v>56</v>
      </c>
      <c r="E48" s="3" t="n">
        <v>171</v>
      </c>
      <c r="F48" s="3" t="n">
        <v>29</v>
      </c>
      <c r="G48" s="4" t="n">
        <v>25</v>
      </c>
      <c r="H48" s="4" t="n">
        <v>37.5</v>
      </c>
      <c r="I48" s="5" t="n">
        <v>4275</v>
      </c>
      <c r="J48" s="5" t="n">
        <v>1087.5</v>
      </c>
      <c r="K48" s="5" t="n">
        <v>5362.5</v>
      </c>
      <c r="L48" s="3" t="s">
        <v>17</v>
      </c>
    </row>
    <row r="49" customFormat="false" ht="15" hidden="false" customHeight="false" outlineLevel="0" collapsed="false">
      <c r="A49" s="6" t="s">
        <v>71</v>
      </c>
      <c r="B49" s="6" t="s">
        <v>14</v>
      </c>
      <c r="C49" s="6" t="s">
        <v>15</v>
      </c>
      <c r="D49" s="6" t="s">
        <v>72</v>
      </c>
      <c r="E49" s="6" t="n">
        <v>145</v>
      </c>
      <c r="F49" s="6" t="n">
        <v>9</v>
      </c>
      <c r="G49" s="7" t="n">
        <v>18</v>
      </c>
      <c r="H49" s="7" t="n">
        <v>27</v>
      </c>
      <c r="I49" s="8" t="n">
        <v>2610</v>
      </c>
      <c r="J49" s="8" t="n">
        <v>243</v>
      </c>
      <c r="K49" s="8" t="n">
        <v>2853</v>
      </c>
      <c r="L49" s="6" t="s">
        <v>17</v>
      </c>
    </row>
    <row r="50" customFormat="false" ht="15" hidden="false" customHeight="false" outlineLevel="0" collapsed="false">
      <c r="A50" s="3" t="s">
        <v>73</v>
      </c>
      <c r="B50" s="3" t="s">
        <v>14</v>
      </c>
      <c r="C50" s="3" t="s">
        <v>19</v>
      </c>
      <c r="D50" s="3" t="s">
        <v>72</v>
      </c>
      <c r="E50" s="3" t="n">
        <v>156</v>
      </c>
      <c r="F50" s="3" t="n">
        <v>30</v>
      </c>
      <c r="G50" s="4" t="n">
        <v>32</v>
      </c>
      <c r="H50" s="4" t="n">
        <v>48</v>
      </c>
      <c r="I50" s="5" t="n">
        <v>4992</v>
      </c>
      <c r="J50" s="5" t="n">
        <v>1440</v>
      </c>
      <c r="K50" s="5" t="n">
        <v>6432</v>
      </c>
      <c r="L50" s="3" t="s">
        <v>17</v>
      </c>
    </row>
    <row r="51" customFormat="false" ht="15" hidden="false" customHeight="false" outlineLevel="0" collapsed="false">
      <c r="A51" s="6" t="s">
        <v>74</v>
      </c>
      <c r="B51" s="6" t="s">
        <v>14</v>
      </c>
      <c r="C51" s="6" t="s">
        <v>21</v>
      </c>
      <c r="D51" s="6" t="s">
        <v>72</v>
      </c>
      <c r="E51" s="6" t="n">
        <v>141</v>
      </c>
      <c r="F51" s="6" t="n">
        <v>13</v>
      </c>
      <c r="G51" s="7" t="n">
        <v>28</v>
      </c>
      <c r="H51" s="7" t="n">
        <v>42</v>
      </c>
      <c r="I51" s="8" t="n">
        <v>3948</v>
      </c>
      <c r="J51" s="8" t="n">
        <v>546</v>
      </c>
      <c r="K51" s="8" t="n">
        <v>4494</v>
      </c>
      <c r="L51" s="6" t="s">
        <v>17</v>
      </c>
    </row>
    <row r="52" customFormat="false" ht="15" hidden="false" customHeight="false" outlineLevel="0" collapsed="false">
      <c r="A52" s="3" t="s">
        <v>75</v>
      </c>
      <c r="B52" s="3" t="s">
        <v>23</v>
      </c>
      <c r="C52" s="3" t="s">
        <v>15</v>
      </c>
      <c r="D52" s="3" t="s">
        <v>72</v>
      </c>
      <c r="E52" s="3" t="n">
        <v>174</v>
      </c>
      <c r="F52" s="3" t="n">
        <v>1</v>
      </c>
      <c r="G52" s="4" t="n">
        <v>28</v>
      </c>
      <c r="H52" s="4" t="n">
        <v>42</v>
      </c>
      <c r="I52" s="5" t="n">
        <v>4872</v>
      </c>
      <c r="J52" s="5" t="n">
        <v>42</v>
      </c>
      <c r="K52" s="5" t="n">
        <v>4914</v>
      </c>
      <c r="L52" s="3" t="s">
        <v>17</v>
      </c>
    </row>
    <row r="53" customFormat="false" ht="15" hidden="false" customHeight="false" outlineLevel="0" collapsed="false">
      <c r="A53" s="6" t="s">
        <v>76</v>
      </c>
      <c r="B53" s="6" t="s">
        <v>23</v>
      </c>
      <c r="C53" s="6" t="s">
        <v>19</v>
      </c>
      <c r="D53" s="6" t="s">
        <v>72</v>
      </c>
      <c r="E53" s="6" t="n">
        <v>145</v>
      </c>
      <c r="F53" s="6" t="n">
        <v>16</v>
      </c>
      <c r="G53" s="7" t="n">
        <v>28</v>
      </c>
      <c r="H53" s="7" t="n">
        <v>42</v>
      </c>
      <c r="I53" s="8" t="n">
        <v>4060</v>
      </c>
      <c r="J53" s="8" t="n">
        <v>672</v>
      </c>
      <c r="K53" s="8" t="n">
        <v>4732</v>
      </c>
      <c r="L53" s="6" t="s">
        <v>17</v>
      </c>
    </row>
    <row r="54" customFormat="false" ht="15" hidden="false" customHeight="false" outlineLevel="0" collapsed="false">
      <c r="A54" s="3" t="s">
        <v>77</v>
      </c>
      <c r="B54" s="3" t="s">
        <v>23</v>
      </c>
      <c r="C54" s="3" t="s">
        <v>21</v>
      </c>
      <c r="D54" s="3" t="s">
        <v>72</v>
      </c>
      <c r="E54" s="3" t="n">
        <v>150</v>
      </c>
      <c r="F54" s="3" t="n">
        <v>22</v>
      </c>
      <c r="G54" s="4" t="n">
        <v>20</v>
      </c>
      <c r="H54" s="4" t="n">
        <v>30</v>
      </c>
      <c r="I54" s="5" t="n">
        <v>3000</v>
      </c>
      <c r="J54" s="5" t="n">
        <v>660</v>
      </c>
      <c r="K54" s="5" t="n">
        <v>3660</v>
      </c>
      <c r="L54" s="3" t="s">
        <v>17</v>
      </c>
    </row>
    <row r="55" customFormat="false" ht="15" hidden="false" customHeight="false" outlineLevel="0" collapsed="false">
      <c r="A55" s="6" t="s">
        <v>78</v>
      </c>
      <c r="B55" s="6" t="s">
        <v>27</v>
      </c>
      <c r="C55" s="6" t="s">
        <v>15</v>
      </c>
      <c r="D55" s="6" t="s">
        <v>72</v>
      </c>
      <c r="E55" s="6" t="n">
        <v>172</v>
      </c>
      <c r="F55" s="6" t="n">
        <v>21</v>
      </c>
      <c r="G55" s="7" t="n">
        <v>32</v>
      </c>
      <c r="H55" s="7" t="n">
        <v>48</v>
      </c>
      <c r="I55" s="8" t="n">
        <v>5504</v>
      </c>
      <c r="J55" s="8" t="n">
        <v>1008</v>
      </c>
      <c r="K55" s="8" t="n">
        <v>6512</v>
      </c>
      <c r="L55" s="6" t="s">
        <v>17</v>
      </c>
    </row>
    <row r="56" customFormat="false" ht="15" hidden="false" customHeight="false" outlineLevel="0" collapsed="false">
      <c r="A56" s="3" t="s">
        <v>79</v>
      </c>
      <c r="B56" s="3" t="s">
        <v>27</v>
      </c>
      <c r="C56" s="3" t="s">
        <v>19</v>
      </c>
      <c r="D56" s="3" t="s">
        <v>72</v>
      </c>
      <c r="E56" s="3" t="n">
        <v>152</v>
      </c>
      <c r="F56" s="3" t="n">
        <v>15</v>
      </c>
      <c r="G56" s="4" t="n">
        <v>25</v>
      </c>
      <c r="H56" s="4" t="n">
        <v>37.5</v>
      </c>
      <c r="I56" s="5" t="n">
        <v>3800</v>
      </c>
      <c r="J56" s="5" t="n">
        <v>562.5</v>
      </c>
      <c r="K56" s="5" t="n">
        <v>4362.5</v>
      </c>
      <c r="L56" s="3" t="s">
        <v>17</v>
      </c>
    </row>
    <row r="57" customFormat="false" ht="15" hidden="false" customHeight="false" outlineLevel="0" collapsed="false">
      <c r="A57" s="6" t="s">
        <v>80</v>
      </c>
      <c r="B57" s="6" t="s">
        <v>27</v>
      </c>
      <c r="C57" s="6" t="s">
        <v>21</v>
      </c>
      <c r="D57" s="6" t="s">
        <v>72</v>
      </c>
      <c r="E57" s="6" t="n">
        <v>154</v>
      </c>
      <c r="F57" s="6" t="n">
        <v>12</v>
      </c>
      <c r="G57" s="7" t="n">
        <v>28</v>
      </c>
      <c r="H57" s="7" t="n">
        <v>42</v>
      </c>
      <c r="I57" s="8" t="n">
        <v>4312</v>
      </c>
      <c r="J57" s="8" t="n">
        <v>504</v>
      </c>
      <c r="K57" s="8" t="n">
        <v>4816</v>
      </c>
      <c r="L57" s="6" t="s">
        <v>17</v>
      </c>
    </row>
    <row r="58" customFormat="false" ht="15" hidden="false" customHeight="false" outlineLevel="0" collapsed="false">
      <c r="A58" s="3" t="s">
        <v>81</v>
      </c>
      <c r="B58" s="3" t="s">
        <v>32</v>
      </c>
      <c r="C58" s="3" t="s">
        <v>15</v>
      </c>
      <c r="D58" s="3" t="s">
        <v>72</v>
      </c>
      <c r="E58" s="3" t="n">
        <v>141</v>
      </c>
      <c r="F58" s="3" t="n">
        <v>1</v>
      </c>
      <c r="G58" s="4" t="n">
        <v>22</v>
      </c>
      <c r="H58" s="4" t="n">
        <v>33</v>
      </c>
      <c r="I58" s="5" t="n">
        <v>3102</v>
      </c>
      <c r="J58" s="5" t="n">
        <v>33</v>
      </c>
      <c r="K58" s="5" t="n">
        <v>3135</v>
      </c>
      <c r="L58" s="3" t="s">
        <v>17</v>
      </c>
    </row>
    <row r="59" customFormat="false" ht="15" hidden="false" customHeight="false" outlineLevel="0" collapsed="false">
      <c r="A59" s="6" t="s">
        <v>82</v>
      </c>
      <c r="B59" s="6" t="s">
        <v>32</v>
      </c>
      <c r="C59" s="6" t="s">
        <v>19</v>
      </c>
      <c r="D59" s="6" t="s">
        <v>72</v>
      </c>
      <c r="E59" s="6" t="n">
        <v>152</v>
      </c>
      <c r="F59" s="6" t="n">
        <v>22</v>
      </c>
      <c r="G59" s="7" t="n">
        <v>25</v>
      </c>
      <c r="H59" s="7" t="n">
        <v>37.5</v>
      </c>
      <c r="I59" s="8" t="n">
        <v>3800</v>
      </c>
      <c r="J59" s="8" t="n">
        <v>825</v>
      </c>
      <c r="K59" s="8" t="n">
        <v>4625</v>
      </c>
      <c r="L59" s="6" t="s">
        <v>30</v>
      </c>
    </row>
    <row r="60" customFormat="false" ht="15" hidden="false" customHeight="false" outlineLevel="0" collapsed="false">
      <c r="A60" s="3" t="s">
        <v>83</v>
      </c>
      <c r="B60" s="3" t="s">
        <v>32</v>
      </c>
      <c r="C60" s="3" t="s">
        <v>21</v>
      </c>
      <c r="D60" s="3" t="s">
        <v>72</v>
      </c>
      <c r="E60" s="3" t="n">
        <v>162</v>
      </c>
      <c r="F60" s="3" t="n">
        <v>23</v>
      </c>
      <c r="G60" s="4" t="n">
        <v>18</v>
      </c>
      <c r="H60" s="4" t="n">
        <v>27</v>
      </c>
      <c r="I60" s="5" t="n">
        <v>2916</v>
      </c>
      <c r="J60" s="5" t="n">
        <v>621</v>
      </c>
      <c r="K60" s="5" t="n">
        <v>3537</v>
      </c>
      <c r="L60" s="3" t="s">
        <v>17</v>
      </c>
    </row>
    <row r="61" customFormat="false" ht="15" hidden="false" customHeight="false" outlineLevel="0" collapsed="false">
      <c r="A61" s="6" t="s">
        <v>84</v>
      </c>
      <c r="B61" s="6" t="s">
        <v>36</v>
      </c>
      <c r="C61" s="6" t="s">
        <v>15</v>
      </c>
      <c r="D61" s="6" t="s">
        <v>72</v>
      </c>
      <c r="E61" s="6" t="n">
        <v>154</v>
      </c>
      <c r="F61" s="6" t="n">
        <v>30</v>
      </c>
      <c r="G61" s="7" t="n">
        <v>20</v>
      </c>
      <c r="H61" s="7" t="n">
        <v>30</v>
      </c>
      <c r="I61" s="8" t="n">
        <v>3080</v>
      </c>
      <c r="J61" s="8" t="n">
        <v>900</v>
      </c>
      <c r="K61" s="8" t="n">
        <v>3980</v>
      </c>
      <c r="L61" s="6" t="s">
        <v>17</v>
      </c>
    </row>
    <row r="62" customFormat="false" ht="15" hidden="false" customHeight="false" outlineLevel="0" collapsed="false">
      <c r="A62" s="3" t="s">
        <v>85</v>
      </c>
      <c r="B62" s="3" t="s">
        <v>36</v>
      </c>
      <c r="C62" s="3" t="s">
        <v>19</v>
      </c>
      <c r="D62" s="3" t="s">
        <v>72</v>
      </c>
      <c r="E62" s="3" t="n">
        <v>170</v>
      </c>
      <c r="F62" s="3" t="n">
        <v>0</v>
      </c>
      <c r="G62" s="4" t="n">
        <v>25</v>
      </c>
      <c r="H62" s="4" t="n">
        <v>37.5</v>
      </c>
      <c r="I62" s="5" t="n">
        <v>4250</v>
      </c>
      <c r="J62" s="5" t="n">
        <v>0</v>
      </c>
      <c r="K62" s="5" t="n">
        <v>4250</v>
      </c>
      <c r="L62" s="3" t="s">
        <v>30</v>
      </c>
    </row>
    <row r="63" customFormat="false" ht="15" hidden="false" customHeight="false" outlineLevel="0" collapsed="false">
      <c r="A63" s="6" t="s">
        <v>86</v>
      </c>
      <c r="B63" s="6" t="s">
        <v>36</v>
      </c>
      <c r="C63" s="6" t="s">
        <v>21</v>
      </c>
      <c r="D63" s="6" t="s">
        <v>72</v>
      </c>
      <c r="E63" s="6" t="n">
        <v>162</v>
      </c>
      <c r="F63" s="6" t="n">
        <v>5</v>
      </c>
      <c r="G63" s="7" t="n">
        <v>32</v>
      </c>
      <c r="H63" s="7" t="n">
        <v>48</v>
      </c>
      <c r="I63" s="8" t="n">
        <v>5184</v>
      </c>
      <c r="J63" s="8" t="n">
        <v>240</v>
      </c>
      <c r="K63" s="8" t="n">
        <v>5424</v>
      </c>
      <c r="L63" s="6" t="s">
        <v>17</v>
      </c>
    </row>
    <row r="64" customFormat="false" ht="15" hidden="false" customHeight="false" outlineLevel="0" collapsed="false">
      <c r="A64" s="3" t="s">
        <v>87</v>
      </c>
      <c r="B64" s="3" t="s">
        <v>14</v>
      </c>
      <c r="C64" s="3" t="s">
        <v>15</v>
      </c>
      <c r="D64" s="3" t="s">
        <v>88</v>
      </c>
      <c r="E64" s="3" t="n">
        <v>164</v>
      </c>
      <c r="F64" s="3" t="n">
        <v>12</v>
      </c>
      <c r="G64" s="4" t="n">
        <v>25</v>
      </c>
      <c r="H64" s="4" t="n">
        <v>37.5</v>
      </c>
      <c r="I64" s="5" t="n">
        <v>4100</v>
      </c>
      <c r="J64" s="5" t="n">
        <v>450</v>
      </c>
      <c r="K64" s="5" t="n">
        <v>4550</v>
      </c>
      <c r="L64" s="3" t="s">
        <v>30</v>
      </c>
    </row>
    <row r="65" customFormat="false" ht="15" hidden="false" customHeight="false" outlineLevel="0" collapsed="false">
      <c r="A65" s="6" t="s">
        <v>89</v>
      </c>
      <c r="B65" s="6" t="s">
        <v>14</v>
      </c>
      <c r="C65" s="6" t="s">
        <v>19</v>
      </c>
      <c r="D65" s="6" t="s">
        <v>88</v>
      </c>
      <c r="E65" s="6" t="n">
        <v>167</v>
      </c>
      <c r="F65" s="6" t="n">
        <v>21</v>
      </c>
      <c r="G65" s="7" t="n">
        <v>18</v>
      </c>
      <c r="H65" s="7" t="n">
        <v>27</v>
      </c>
      <c r="I65" s="8" t="n">
        <v>3006</v>
      </c>
      <c r="J65" s="8" t="n">
        <v>567</v>
      </c>
      <c r="K65" s="8" t="n">
        <v>3573</v>
      </c>
      <c r="L65" s="6" t="s">
        <v>30</v>
      </c>
    </row>
    <row r="66" customFormat="false" ht="15" hidden="false" customHeight="false" outlineLevel="0" collapsed="false">
      <c r="A66" s="3" t="s">
        <v>90</v>
      </c>
      <c r="B66" s="3" t="s">
        <v>14</v>
      </c>
      <c r="C66" s="3" t="s">
        <v>21</v>
      </c>
      <c r="D66" s="3" t="s">
        <v>88</v>
      </c>
      <c r="E66" s="3" t="n">
        <v>165</v>
      </c>
      <c r="F66" s="3" t="n">
        <v>29</v>
      </c>
      <c r="G66" s="4" t="n">
        <v>25</v>
      </c>
      <c r="H66" s="4" t="n">
        <v>37.5</v>
      </c>
      <c r="I66" s="5" t="n">
        <v>4125</v>
      </c>
      <c r="J66" s="5" t="n">
        <v>1087.5</v>
      </c>
      <c r="K66" s="5" t="n">
        <v>5212.5</v>
      </c>
      <c r="L66" s="3" t="s">
        <v>17</v>
      </c>
    </row>
    <row r="67" customFormat="false" ht="15" hidden="false" customHeight="false" outlineLevel="0" collapsed="false">
      <c r="A67" s="6" t="s">
        <v>91</v>
      </c>
      <c r="B67" s="6" t="s">
        <v>23</v>
      </c>
      <c r="C67" s="6" t="s">
        <v>15</v>
      </c>
      <c r="D67" s="6" t="s">
        <v>88</v>
      </c>
      <c r="E67" s="6" t="n">
        <v>145</v>
      </c>
      <c r="F67" s="6" t="n">
        <v>10</v>
      </c>
      <c r="G67" s="7" t="n">
        <v>20</v>
      </c>
      <c r="H67" s="7" t="n">
        <v>30</v>
      </c>
      <c r="I67" s="8" t="n">
        <v>2900</v>
      </c>
      <c r="J67" s="8" t="n">
        <v>300</v>
      </c>
      <c r="K67" s="8" t="n">
        <v>3200</v>
      </c>
      <c r="L67" s="6" t="s">
        <v>30</v>
      </c>
    </row>
    <row r="68" customFormat="false" ht="15" hidden="false" customHeight="false" outlineLevel="0" collapsed="false">
      <c r="A68" s="3" t="s">
        <v>92</v>
      </c>
      <c r="B68" s="3" t="s">
        <v>23</v>
      </c>
      <c r="C68" s="3" t="s">
        <v>19</v>
      </c>
      <c r="D68" s="3" t="s">
        <v>88</v>
      </c>
      <c r="E68" s="3" t="n">
        <v>141</v>
      </c>
      <c r="F68" s="3" t="n">
        <v>9</v>
      </c>
      <c r="G68" s="4" t="n">
        <v>28</v>
      </c>
      <c r="H68" s="4" t="n">
        <v>42</v>
      </c>
      <c r="I68" s="5" t="n">
        <v>3948</v>
      </c>
      <c r="J68" s="5" t="n">
        <v>378</v>
      </c>
      <c r="K68" s="5" t="n">
        <v>4326</v>
      </c>
      <c r="L68" s="3" t="s">
        <v>30</v>
      </c>
    </row>
    <row r="69" customFormat="false" ht="15" hidden="false" customHeight="false" outlineLevel="0" collapsed="false">
      <c r="A69" s="6" t="s">
        <v>93</v>
      </c>
      <c r="B69" s="6" t="s">
        <v>23</v>
      </c>
      <c r="C69" s="6" t="s">
        <v>21</v>
      </c>
      <c r="D69" s="6" t="s">
        <v>88</v>
      </c>
      <c r="E69" s="6" t="n">
        <v>149</v>
      </c>
      <c r="F69" s="6" t="n">
        <v>30</v>
      </c>
      <c r="G69" s="7" t="n">
        <v>32</v>
      </c>
      <c r="H69" s="7" t="n">
        <v>48</v>
      </c>
      <c r="I69" s="8" t="n">
        <v>4768</v>
      </c>
      <c r="J69" s="8" t="n">
        <v>1440</v>
      </c>
      <c r="K69" s="8" t="n">
        <v>6208</v>
      </c>
      <c r="L69" s="6" t="s">
        <v>30</v>
      </c>
    </row>
    <row r="70" customFormat="false" ht="15" hidden="false" customHeight="false" outlineLevel="0" collapsed="false">
      <c r="A70" s="3" t="s">
        <v>94</v>
      </c>
      <c r="B70" s="3" t="s">
        <v>27</v>
      </c>
      <c r="C70" s="3" t="s">
        <v>15</v>
      </c>
      <c r="D70" s="3" t="s">
        <v>88</v>
      </c>
      <c r="E70" s="3" t="n">
        <v>149</v>
      </c>
      <c r="F70" s="3" t="n">
        <v>8</v>
      </c>
      <c r="G70" s="4" t="n">
        <v>18</v>
      </c>
      <c r="H70" s="4" t="n">
        <v>27</v>
      </c>
      <c r="I70" s="5" t="n">
        <v>2682</v>
      </c>
      <c r="J70" s="5" t="n">
        <v>216</v>
      </c>
      <c r="K70" s="5" t="n">
        <v>2898</v>
      </c>
      <c r="L70" s="3" t="s">
        <v>17</v>
      </c>
    </row>
    <row r="71" customFormat="false" ht="15" hidden="false" customHeight="false" outlineLevel="0" collapsed="false">
      <c r="A71" s="6" t="s">
        <v>95</v>
      </c>
      <c r="B71" s="6" t="s">
        <v>27</v>
      </c>
      <c r="C71" s="6" t="s">
        <v>19</v>
      </c>
      <c r="D71" s="6" t="s">
        <v>88</v>
      </c>
      <c r="E71" s="6" t="n">
        <v>146</v>
      </c>
      <c r="F71" s="6" t="n">
        <v>8</v>
      </c>
      <c r="G71" s="7" t="n">
        <v>25</v>
      </c>
      <c r="H71" s="7" t="n">
        <v>37.5</v>
      </c>
      <c r="I71" s="8" t="n">
        <v>3650</v>
      </c>
      <c r="J71" s="8" t="n">
        <v>300</v>
      </c>
      <c r="K71" s="8" t="n">
        <v>3950</v>
      </c>
      <c r="L71" s="6" t="s">
        <v>30</v>
      </c>
    </row>
    <row r="72" customFormat="false" ht="15" hidden="false" customHeight="false" outlineLevel="0" collapsed="false">
      <c r="A72" s="3" t="s">
        <v>96</v>
      </c>
      <c r="B72" s="3" t="s">
        <v>27</v>
      </c>
      <c r="C72" s="3" t="s">
        <v>21</v>
      </c>
      <c r="D72" s="3" t="s">
        <v>88</v>
      </c>
      <c r="E72" s="3" t="n">
        <v>152</v>
      </c>
      <c r="F72" s="3" t="n">
        <v>13</v>
      </c>
      <c r="G72" s="4" t="n">
        <v>18</v>
      </c>
      <c r="H72" s="4" t="n">
        <v>27</v>
      </c>
      <c r="I72" s="5" t="n">
        <v>2736</v>
      </c>
      <c r="J72" s="5" t="n">
        <v>351</v>
      </c>
      <c r="K72" s="5" t="n">
        <v>3087</v>
      </c>
      <c r="L72" s="3" t="s">
        <v>17</v>
      </c>
    </row>
    <row r="73" customFormat="false" ht="15" hidden="false" customHeight="false" outlineLevel="0" collapsed="false">
      <c r="A73" s="6" t="s">
        <v>97</v>
      </c>
      <c r="B73" s="6" t="s">
        <v>32</v>
      </c>
      <c r="C73" s="6" t="s">
        <v>15</v>
      </c>
      <c r="D73" s="6" t="s">
        <v>88</v>
      </c>
      <c r="E73" s="6" t="n">
        <v>158</v>
      </c>
      <c r="F73" s="6" t="n">
        <v>32</v>
      </c>
      <c r="G73" s="7" t="n">
        <v>20</v>
      </c>
      <c r="H73" s="7" t="n">
        <v>30</v>
      </c>
      <c r="I73" s="8" t="n">
        <v>3160</v>
      </c>
      <c r="J73" s="8" t="n">
        <v>960</v>
      </c>
      <c r="K73" s="8" t="n">
        <v>4120</v>
      </c>
      <c r="L73" s="6" t="s">
        <v>17</v>
      </c>
    </row>
    <row r="74" customFormat="false" ht="15" hidden="false" customHeight="false" outlineLevel="0" collapsed="false">
      <c r="A74" s="3" t="s">
        <v>98</v>
      </c>
      <c r="B74" s="3" t="s">
        <v>32</v>
      </c>
      <c r="C74" s="3" t="s">
        <v>19</v>
      </c>
      <c r="D74" s="3" t="s">
        <v>88</v>
      </c>
      <c r="E74" s="3" t="n">
        <v>160</v>
      </c>
      <c r="F74" s="3" t="n">
        <v>16</v>
      </c>
      <c r="G74" s="4" t="n">
        <v>28</v>
      </c>
      <c r="H74" s="4" t="n">
        <v>42</v>
      </c>
      <c r="I74" s="5" t="n">
        <v>4480</v>
      </c>
      <c r="J74" s="5" t="n">
        <v>672</v>
      </c>
      <c r="K74" s="5" t="n">
        <v>5152</v>
      </c>
      <c r="L74" s="3" t="s">
        <v>17</v>
      </c>
    </row>
    <row r="75" customFormat="false" ht="15" hidden="false" customHeight="false" outlineLevel="0" collapsed="false">
      <c r="A75" s="6" t="s">
        <v>99</v>
      </c>
      <c r="B75" s="6" t="s">
        <v>32</v>
      </c>
      <c r="C75" s="6" t="s">
        <v>21</v>
      </c>
      <c r="D75" s="6" t="s">
        <v>88</v>
      </c>
      <c r="E75" s="6" t="n">
        <v>148</v>
      </c>
      <c r="F75" s="6" t="n">
        <v>3</v>
      </c>
      <c r="G75" s="7" t="n">
        <v>32</v>
      </c>
      <c r="H75" s="7" t="n">
        <v>48</v>
      </c>
      <c r="I75" s="8" t="n">
        <v>4736</v>
      </c>
      <c r="J75" s="8" t="n">
        <v>144</v>
      </c>
      <c r="K75" s="8" t="n">
        <v>4880</v>
      </c>
      <c r="L75" s="6" t="s">
        <v>17</v>
      </c>
    </row>
    <row r="76" customFormat="false" ht="15" hidden="false" customHeight="false" outlineLevel="0" collapsed="false">
      <c r="A76" s="3" t="s">
        <v>100</v>
      </c>
      <c r="B76" s="3" t="s">
        <v>36</v>
      </c>
      <c r="C76" s="3" t="s">
        <v>15</v>
      </c>
      <c r="D76" s="3" t="s">
        <v>88</v>
      </c>
      <c r="E76" s="3" t="n">
        <v>169</v>
      </c>
      <c r="F76" s="3" t="n">
        <v>26</v>
      </c>
      <c r="G76" s="4" t="n">
        <v>28</v>
      </c>
      <c r="H76" s="4" t="n">
        <v>42</v>
      </c>
      <c r="I76" s="5" t="n">
        <v>4732</v>
      </c>
      <c r="J76" s="5" t="n">
        <v>1092</v>
      </c>
      <c r="K76" s="5" t="n">
        <v>5824</v>
      </c>
      <c r="L76" s="3" t="s">
        <v>17</v>
      </c>
    </row>
    <row r="77" customFormat="false" ht="15" hidden="false" customHeight="false" outlineLevel="0" collapsed="false">
      <c r="A77" s="6" t="s">
        <v>101</v>
      </c>
      <c r="B77" s="6" t="s">
        <v>36</v>
      </c>
      <c r="C77" s="6" t="s">
        <v>19</v>
      </c>
      <c r="D77" s="6" t="s">
        <v>88</v>
      </c>
      <c r="E77" s="6" t="n">
        <v>149</v>
      </c>
      <c r="F77" s="6" t="n">
        <v>32</v>
      </c>
      <c r="G77" s="7" t="n">
        <v>18</v>
      </c>
      <c r="H77" s="7" t="n">
        <v>27</v>
      </c>
      <c r="I77" s="8" t="n">
        <v>2682</v>
      </c>
      <c r="J77" s="8" t="n">
        <v>864</v>
      </c>
      <c r="K77" s="8" t="n">
        <v>3546</v>
      </c>
      <c r="L77" s="6" t="s">
        <v>30</v>
      </c>
    </row>
    <row r="78" customFormat="false" ht="15" hidden="false" customHeight="false" outlineLevel="0" collapsed="false">
      <c r="A78" s="3" t="s">
        <v>102</v>
      </c>
      <c r="B78" s="3" t="s">
        <v>36</v>
      </c>
      <c r="C78" s="3" t="s">
        <v>21</v>
      </c>
      <c r="D78" s="3" t="s">
        <v>88</v>
      </c>
      <c r="E78" s="3" t="n">
        <v>151</v>
      </c>
      <c r="F78" s="3" t="n">
        <v>0</v>
      </c>
      <c r="G78" s="4" t="n">
        <v>20</v>
      </c>
      <c r="H78" s="4" t="n">
        <v>30</v>
      </c>
      <c r="I78" s="5" t="n">
        <v>3020</v>
      </c>
      <c r="J78" s="5" t="n">
        <v>0</v>
      </c>
      <c r="K78" s="5" t="n">
        <v>3020</v>
      </c>
      <c r="L78" s="3" t="s">
        <v>17</v>
      </c>
    </row>
    <row r="79" customFormat="false" ht="15" hidden="false" customHeight="false" outlineLevel="0" collapsed="false">
      <c r="A79" s="6" t="s">
        <v>103</v>
      </c>
      <c r="B79" s="6" t="s">
        <v>14</v>
      </c>
      <c r="C79" s="6" t="s">
        <v>15</v>
      </c>
      <c r="D79" s="6" t="s">
        <v>104</v>
      </c>
      <c r="E79" s="6" t="n">
        <v>170</v>
      </c>
      <c r="F79" s="6" t="n">
        <v>7</v>
      </c>
      <c r="G79" s="7" t="n">
        <v>28</v>
      </c>
      <c r="H79" s="7" t="n">
        <v>42</v>
      </c>
      <c r="I79" s="8" t="n">
        <v>4760</v>
      </c>
      <c r="J79" s="8" t="n">
        <v>294</v>
      </c>
      <c r="K79" s="8" t="n">
        <v>5054</v>
      </c>
      <c r="L79" s="6" t="s">
        <v>17</v>
      </c>
    </row>
    <row r="80" customFormat="false" ht="15" hidden="false" customHeight="false" outlineLevel="0" collapsed="false">
      <c r="A80" s="3" t="s">
        <v>105</v>
      </c>
      <c r="B80" s="3" t="s">
        <v>14</v>
      </c>
      <c r="C80" s="3" t="s">
        <v>19</v>
      </c>
      <c r="D80" s="3" t="s">
        <v>104</v>
      </c>
      <c r="E80" s="3" t="n">
        <v>173</v>
      </c>
      <c r="F80" s="3" t="n">
        <v>30</v>
      </c>
      <c r="G80" s="4" t="n">
        <v>18</v>
      </c>
      <c r="H80" s="4" t="n">
        <v>27</v>
      </c>
      <c r="I80" s="5" t="n">
        <v>3114</v>
      </c>
      <c r="J80" s="5" t="n">
        <v>810</v>
      </c>
      <c r="K80" s="5" t="n">
        <v>3924</v>
      </c>
      <c r="L80" s="3" t="s">
        <v>30</v>
      </c>
    </row>
    <row r="81" customFormat="false" ht="15" hidden="false" customHeight="false" outlineLevel="0" collapsed="false">
      <c r="A81" s="6" t="s">
        <v>106</v>
      </c>
      <c r="B81" s="6" t="s">
        <v>14</v>
      </c>
      <c r="C81" s="6" t="s">
        <v>21</v>
      </c>
      <c r="D81" s="6" t="s">
        <v>104</v>
      </c>
      <c r="E81" s="6" t="n">
        <v>143</v>
      </c>
      <c r="F81" s="6" t="n">
        <v>15</v>
      </c>
      <c r="G81" s="7" t="n">
        <v>20</v>
      </c>
      <c r="H81" s="7" t="n">
        <v>30</v>
      </c>
      <c r="I81" s="8" t="n">
        <v>2860</v>
      </c>
      <c r="J81" s="8" t="n">
        <v>450</v>
      </c>
      <c r="K81" s="8" t="n">
        <v>3310</v>
      </c>
      <c r="L81" s="6" t="s">
        <v>17</v>
      </c>
    </row>
    <row r="82" customFormat="false" ht="15" hidden="false" customHeight="false" outlineLevel="0" collapsed="false">
      <c r="A82" s="3" t="s">
        <v>107</v>
      </c>
      <c r="B82" s="3" t="s">
        <v>23</v>
      </c>
      <c r="C82" s="3" t="s">
        <v>15</v>
      </c>
      <c r="D82" s="3" t="s">
        <v>104</v>
      </c>
      <c r="E82" s="3" t="n">
        <v>146</v>
      </c>
      <c r="F82" s="3" t="n">
        <v>32</v>
      </c>
      <c r="G82" s="4" t="n">
        <v>25</v>
      </c>
      <c r="H82" s="4" t="n">
        <v>37.5</v>
      </c>
      <c r="I82" s="5" t="n">
        <v>3650</v>
      </c>
      <c r="J82" s="5" t="n">
        <v>1200</v>
      </c>
      <c r="K82" s="5" t="n">
        <v>4850</v>
      </c>
      <c r="L82" s="3" t="s">
        <v>17</v>
      </c>
    </row>
    <row r="83" customFormat="false" ht="15" hidden="false" customHeight="false" outlineLevel="0" collapsed="false">
      <c r="A83" s="6" t="s">
        <v>108</v>
      </c>
      <c r="B83" s="6" t="s">
        <v>23</v>
      </c>
      <c r="C83" s="6" t="s">
        <v>19</v>
      </c>
      <c r="D83" s="6" t="s">
        <v>104</v>
      </c>
      <c r="E83" s="6" t="n">
        <v>144</v>
      </c>
      <c r="F83" s="6" t="n">
        <v>28</v>
      </c>
      <c r="G83" s="7" t="n">
        <v>22</v>
      </c>
      <c r="H83" s="7" t="n">
        <v>33</v>
      </c>
      <c r="I83" s="8" t="n">
        <v>3168</v>
      </c>
      <c r="J83" s="8" t="n">
        <v>924</v>
      </c>
      <c r="K83" s="8" t="n">
        <v>4092</v>
      </c>
      <c r="L83" s="6" t="s">
        <v>17</v>
      </c>
    </row>
    <row r="84" customFormat="false" ht="15" hidden="false" customHeight="false" outlineLevel="0" collapsed="false">
      <c r="A84" s="3" t="s">
        <v>109</v>
      </c>
      <c r="B84" s="3" t="s">
        <v>23</v>
      </c>
      <c r="C84" s="3" t="s">
        <v>21</v>
      </c>
      <c r="D84" s="3" t="s">
        <v>104</v>
      </c>
      <c r="E84" s="3" t="n">
        <v>172</v>
      </c>
      <c r="F84" s="3" t="n">
        <v>32</v>
      </c>
      <c r="G84" s="4" t="n">
        <v>20</v>
      </c>
      <c r="H84" s="4" t="n">
        <v>30</v>
      </c>
      <c r="I84" s="5" t="n">
        <v>3440</v>
      </c>
      <c r="J84" s="5" t="n">
        <v>960</v>
      </c>
      <c r="K84" s="5" t="n">
        <v>4400</v>
      </c>
      <c r="L84" s="3" t="s">
        <v>17</v>
      </c>
    </row>
    <row r="85" customFormat="false" ht="15" hidden="false" customHeight="false" outlineLevel="0" collapsed="false">
      <c r="A85" s="6" t="s">
        <v>110</v>
      </c>
      <c r="B85" s="6" t="s">
        <v>27</v>
      </c>
      <c r="C85" s="6" t="s">
        <v>15</v>
      </c>
      <c r="D85" s="6" t="s">
        <v>104</v>
      </c>
      <c r="E85" s="6" t="n">
        <v>168</v>
      </c>
      <c r="F85" s="6" t="n">
        <v>32</v>
      </c>
      <c r="G85" s="7" t="n">
        <v>28</v>
      </c>
      <c r="H85" s="7" t="n">
        <v>42</v>
      </c>
      <c r="I85" s="8" t="n">
        <v>4704</v>
      </c>
      <c r="J85" s="8" t="n">
        <v>1344</v>
      </c>
      <c r="K85" s="8" t="n">
        <v>6048</v>
      </c>
      <c r="L85" s="6" t="s">
        <v>30</v>
      </c>
    </row>
    <row r="86" customFormat="false" ht="15" hidden="false" customHeight="false" outlineLevel="0" collapsed="false">
      <c r="A86" s="3" t="s">
        <v>111</v>
      </c>
      <c r="B86" s="3" t="s">
        <v>27</v>
      </c>
      <c r="C86" s="3" t="s">
        <v>19</v>
      </c>
      <c r="D86" s="3" t="s">
        <v>104</v>
      </c>
      <c r="E86" s="3" t="n">
        <v>172</v>
      </c>
      <c r="F86" s="3" t="n">
        <v>15</v>
      </c>
      <c r="G86" s="4" t="n">
        <v>32</v>
      </c>
      <c r="H86" s="4" t="n">
        <v>48</v>
      </c>
      <c r="I86" s="5" t="n">
        <v>5504</v>
      </c>
      <c r="J86" s="5" t="n">
        <v>720</v>
      </c>
      <c r="K86" s="5" t="n">
        <v>6224</v>
      </c>
      <c r="L86" s="3" t="s">
        <v>17</v>
      </c>
    </row>
    <row r="87" customFormat="false" ht="15" hidden="false" customHeight="false" outlineLevel="0" collapsed="false">
      <c r="A87" s="6" t="s">
        <v>112</v>
      </c>
      <c r="B87" s="6" t="s">
        <v>27</v>
      </c>
      <c r="C87" s="6" t="s">
        <v>21</v>
      </c>
      <c r="D87" s="6" t="s">
        <v>104</v>
      </c>
      <c r="E87" s="6" t="n">
        <v>156</v>
      </c>
      <c r="F87" s="6" t="n">
        <v>12</v>
      </c>
      <c r="G87" s="7" t="n">
        <v>25</v>
      </c>
      <c r="H87" s="7" t="n">
        <v>37.5</v>
      </c>
      <c r="I87" s="8" t="n">
        <v>3900</v>
      </c>
      <c r="J87" s="8" t="n">
        <v>450</v>
      </c>
      <c r="K87" s="8" t="n">
        <v>4350</v>
      </c>
      <c r="L87" s="6" t="s">
        <v>17</v>
      </c>
    </row>
    <row r="88" customFormat="false" ht="15" hidden="false" customHeight="false" outlineLevel="0" collapsed="false">
      <c r="A88" s="3" t="s">
        <v>113</v>
      </c>
      <c r="B88" s="3" t="s">
        <v>32</v>
      </c>
      <c r="C88" s="3" t="s">
        <v>15</v>
      </c>
      <c r="D88" s="3" t="s">
        <v>104</v>
      </c>
      <c r="E88" s="3" t="n">
        <v>147</v>
      </c>
      <c r="F88" s="3" t="n">
        <v>25</v>
      </c>
      <c r="G88" s="4" t="n">
        <v>25</v>
      </c>
      <c r="H88" s="4" t="n">
        <v>37.5</v>
      </c>
      <c r="I88" s="5" t="n">
        <v>3675</v>
      </c>
      <c r="J88" s="5" t="n">
        <v>937.5</v>
      </c>
      <c r="K88" s="5" t="n">
        <v>4612.5</v>
      </c>
      <c r="L88" s="3" t="s">
        <v>17</v>
      </c>
    </row>
    <row r="89" customFormat="false" ht="15" hidden="false" customHeight="false" outlineLevel="0" collapsed="false">
      <c r="A89" s="6" t="s">
        <v>114</v>
      </c>
      <c r="B89" s="6" t="s">
        <v>32</v>
      </c>
      <c r="C89" s="6" t="s">
        <v>19</v>
      </c>
      <c r="D89" s="6" t="s">
        <v>104</v>
      </c>
      <c r="E89" s="6" t="n">
        <v>155</v>
      </c>
      <c r="F89" s="6" t="n">
        <v>27</v>
      </c>
      <c r="G89" s="7" t="n">
        <v>18</v>
      </c>
      <c r="H89" s="7" t="n">
        <v>27</v>
      </c>
      <c r="I89" s="8" t="n">
        <v>2790</v>
      </c>
      <c r="J89" s="8" t="n">
        <v>729</v>
      </c>
      <c r="K89" s="8" t="n">
        <v>3519</v>
      </c>
      <c r="L89" s="6" t="s">
        <v>17</v>
      </c>
    </row>
    <row r="90" customFormat="false" ht="15" hidden="false" customHeight="false" outlineLevel="0" collapsed="false">
      <c r="A90" s="3" t="s">
        <v>115</v>
      </c>
      <c r="B90" s="3" t="s">
        <v>32</v>
      </c>
      <c r="C90" s="3" t="s">
        <v>21</v>
      </c>
      <c r="D90" s="3" t="s">
        <v>104</v>
      </c>
      <c r="E90" s="3" t="n">
        <v>159</v>
      </c>
      <c r="F90" s="3" t="n">
        <v>7</v>
      </c>
      <c r="G90" s="4" t="n">
        <v>20</v>
      </c>
      <c r="H90" s="4" t="n">
        <v>30</v>
      </c>
      <c r="I90" s="5" t="n">
        <v>3180</v>
      </c>
      <c r="J90" s="5" t="n">
        <v>210</v>
      </c>
      <c r="K90" s="5" t="n">
        <v>3390</v>
      </c>
      <c r="L90" s="3" t="s">
        <v>30</v>
      </c>
    </row>
    <row r="91" customFormat="false" ht="15" hidden="false" customHeight="false" outlineLevel="0" collapsed="false">
      <c r="A91" s="6" t="s">
        <v>116</v>
      </c>
      <c r="B91" s="6" t="s">
        <v>36</v>
      </c>
      <c r="C91" s="6" t="s">
        <v>15</v>
      </c>
      <c r="D91" s="6" t="s">
        <v>104</v>
      </c>
      <c r="E91" s="6" t="n">
        <v>163</v>
      </c>
      <c r="F91" s="6" t="n">
        <v>9</v>
      </c>
      <c r="G91" s="7" t="n">
        <v>22</v>
      </c>
      <c r="H91" s="7" t="n">
        <v>33</v>
      </c>
      <c r="I91" s="8" t="n">
        <v>3586</v>
      </c>
      <c r="J91" s="8" t="n">
        <v>297</v>
      </c>
      <c r="K91" s="8" t="n">
        <v>3883</v>
      </c>
      <c r="L91" s="6" t="s">
        <v>30</v>
      </c>
    </row>
    <row r="92" customFormat="false" ht="15" hidden="false" customHeight="false" outlineLevel="0" collapsed="false">
      <c r="A92" s="3" t="s">
        <v>117</v>
      </c>
      <c r="B92" s="3" t="s">
        <v>36</v>
      </c>
      <c r="C92" s="3" t="s">
        <v>19</v>
      </c>
      <c r="D92" s="3" t="s">
        <v>104</v>
      </c>
      <c r="E92" s="3" t="n">
        <v>169</v>
      </c>
      <c r="F92" s="3" t="n">
        <v>14</v>
      </c>
      <c r="G92" s="4" t="n">
        <v>32</v>
      </c>
      <c r="H92" s="4" t="n">
        <v>48</v>
      </c>
      <c r="I92" s="5" t="n">
        <v>5408</v>
      </c>
      <c r="J92" s="5" t="n">
        <v>672</v>
      </c>
      <c r="K92" s="5" t="n">
        <v>6080</v>
      </c>
      <c r="L92" s="3" t="s">
        <v>30</v>
      </c>
    </row>
    <row r="93" customFormat="false" ht="15" hidden="false" customHeight="false" outlineLevel="0" collapsed="false">
      <c r="A93" s="6" t="s">
        <v>118</v>
      </c>
      <c r="B93" s="6" t="s">
        <v>36</v>
      </c>
      <c r="C93" s="6" t="s">
        <v>21</v>
      </c>
      <c r="D93" s="6" t="s">
        <v>104</v>
      </c>
      <c r="E93" s="6" t="n">
        <v>165</v>
      </c>
      <c r="F93" s="6" t="n">
        <v>31</v>
      </c>
      <c r="G93" s="7" t="n">
        <v>20</v>
      </c>
      <c r="H93" s="7" t="n">
        <v>30</v>
      </c>
      <c r="I93" s="8" t="n">
        <v>3300</v>
      </c>
      <c r="J93" s="8" t="n">
        <v>930</v>
      </c>
      <c r="K93" s="8" t="n">
        <v>4230</v>
      </c>
      <c r="L93" s="6" t="s">
        <v>30</v>
      </c>
    </row>
    <row r="94" customFormat="false" ht="15" hidden="false" customHeight="false" outlineLevel="0" collapsed="false">
      <c r="A94" s="3" t="s">
        <v>119</v>
      </c>
      <c r="B94" s="3" t="s">
        <v>14</v>
      </c>
      <c r="C94" s="3" t="s">
        <v>15</v>
      </c>
      <c r="D94" s="3" t="s">
        <v>120</v>
      </c>
      <c r="E94" s="3" t="n">
        <v>154</v>
      </c>
      <c r="F94" s="3" t="n">
        <v>10</v>
      </c>
      <c r="G94" s="4" t="n">
        <v>32</v>
      </c>
      <c r="H94" s="4" t="n">
        <v>48</v>
      </c>
      <c r="I94" s="5" t="n">
        <v>4928</v>
      </c>
      <c r="J94" s="5" t="n">
        <v>480</v>
      </c>
      <c r="K94" s="5" t="n">
        <v>5408</v>
      </c>
      <c r="L94" s="3" t="s">
        <v>17</v>
      </c>
    </row>
    <row r="95" customFormat="false" ht="15" hidden="false" customHeight="false" outlineLevel="0" collapsed="false">
      <c r="A95" s="6" t="s">
        <v>121</v>
      </c>
      <c r="B95" s="6" t="s">
        <v>14</v>
      </c>
      <c r="C95" s="6" t="s">
        <v>19</v>
      </c>
      <c r="D95" s="6" t="s">
        <v>120</v>
      </c>
      <c r="E95" s="6" t="n">
        <v>172</v>
      </c>
      <c r="F95" s="6" t="n">
        <v>25</v>
      </c>
      <c r="G95" s="7" t="n">
        <v>22</v>
      </c>
      <c r="H95" s="7" t="n">
        <v>33</v>
      </c>
      <c r="I95" s="8" t="n">
        <v>3784</v>
      </c>
      <c r="J95" s="8" t="n">
        <v>825</v>
      </c>
      <c r="K95" s="8" t="n">
        <v>4609</v>
      </c>
      <c r="L95" s="6" t="s">
        <v>17</v>
      </c>
    </row>
    <row r="96" customFormat="false" ht="15" hidden="false" customHeight="false" outlineLevel="0" collapsed="false">
      <c r="A96" s="3" t="s">
        <v>122</v>
      </c>
      <c r="B96" s="3" t="s">
        <v>14</v>
      </c>
      <c r="C96" s="3" t="s">
        <v>21</v>
      </c>
      <c r="D96" s="3" t="s">
        <v>120</v>
      </c>
      <c r="E96" s="3" t="n">
        <v>162</v>
      </c>
      <c r="F96" s="3" t="n">
        <v>20</v>
      </c>
      <c r="G96" s="4" t="n">
        <v>18</v>
      </c>
      <c r="H96" s="4" t="n">
        <v>27</v>
      </c>
      <c r="I96" s="5" t="n">
        <v>2916</v>
      </c>
      <c r="J96" s="5" t="n">
        <v>540</v>
      </c>
      <c r="K96" s="5" t="n">
        <v>3456</v>
      </c>
      <c r="L96" s="3" t="s">
        <v>17</v>
      </c>
    </row>
    <row r="97" customFormat="false" ht="15" hidden="false" customHeight="false" outlineLevel="0" collapsed="false">
      <c r="A97" s="6" t="s">
        <v>123</v>
      </c>
      <c r="B97" s="6" t="s">
        <v>23</v>
      </c>
      <c r="C97" s="6" t="s">
        <v>15</v>
      </c>
      <c r="D97" s="6" t="s">
        <v>120</v>
      </c>
      <c r="E97" s="6" t="n">
        <v>141</v>
      </c>
      <c r="F97" s="6" t="n">
        <v>21</v>
      </c>
      <c r="G97" s="7" t="n">
        <v>28</v>
      </c>
      <c r="H97" s="7" t="n">
        <v>42</v>
      </c>
      <c r="I97" s="8" t="n">
        <v>3948</v>
      </c>
      <c r="J97" s="8" t="n">
        <v>882</v>
      </c>
      <c r="K97" s="8" t="n">
        <v>4830</v>
      </c>
      <c r="L97" s="6" t="s">
        <v>17</v>
      </c>
    </row>
    <row r="98" customFormat="false" ht="15" hidden="false" customHeight="false" outlineLevel="0" collapsed="false">
      <c r="A98" s="3" t="s">
        <v>124</v>
      </c>
      <c r="B98" s="3" t="s">
        <v>23</v>
      </c>
      <c r="C98" s="3" t="s">
        <v>19</v>
      </c>
      <c r="D98" s="3" t="s">
        <v>120</v>
      </c>
      <c r="E98" s="3" t="n">
        <v>141</v>
      </c>
      <c r="F98" s="3" t="n">
        <v>24</v>
      </c>
      <c r="G98" s="4" t="n">
        <v>22</v>
      </c>
      <c r="H98" s="4" t="n">
        <v>33</v>
      </c>
      <c r="I98" s="5" t="n">
        <v>3102</v>
      </c>
      <c r="J98" s="5" t="n">
        <v>792</v>
      </c>
      <c r="K98" s="5" t="n">
        <v>3894</v>
      </c>
      <c r="L98" s="3" t="s">
        <v>17</v>
      </c>
    </row>
    <row r="99" customFormat="false" ht="15" hidden="false" customHeight="false" outlineLevel="0" collapsed="false">
      <c r="A99" s="6" t="s">
        <v>125</v>
      </c>
      <c r="B99" s="6" t="s">
        <v>23</v>
      </c>
      <c r="C99" s="6" t="s">
        <v>21</v>
      </c>
      <c r="D99" s="6" t="s">
        <v>120</v>
      </c>
      <c r="E99" s="6" t="n">
        <v>158</v>
      </c>
      <c r="F99" s="6" t="n">
        <v>32</v>
      </c>
      <c r="G99" s="7" t="n">
        <v>18</v>
      </c>
      <c r="H99" s="7" t="n">
        <v>27</v>
      </c>
      <c r="I99" s="8" t="n">
        <v>2844</v>
      </c>
      <c r="J99" s="8" t="n">
        <v>864</v>
      </c>
      <c r="K99" s="8" t="n">
        <v>3708</v>
      </c>
      <c r="L99" s="6" t="s">
        <v>17</v>
      </c>
    </row>
    <row r="100" customFormat="false" ht="15" hidden="false" customHeight="false" outlineLevel="0" collapsed="false">
      <c r="A100" s="3" t="s">
        <v>126</v>
      </c>
      <c r="B100" s="3" t="s">
        <v>27</v>
      </c>
      <c r="C100" s="3" t="s">
        <v>15</v>
      </c>
      <c r="D100" s="3" t="s">
        <v>120</v>
      </c>
      <c r="E100" s="3" t="n">
        <v>154</v>
      </c>
      <c r="F100" s="3" t="n">
        <v>6</v>
      </c>
      <c r="G100" s="4" t="n">
        <v>18</v>
      </c>
      <c r="H100" s="4" t="n">
        <v>27</v>
      </c>
      <c r="I100" s="5" t="n">
        <v>2772</v>
      </c>
      <c r="J100" s="5" t="n">
        <v>162</v>
      </c>
      <c r="K100" s="5" t="n">
        <v>2934</v>
      </c>
      <c r="L100" s="3" t="s">
        <v>17</v>
      </c>
    </row>
    <row r="101" customFormat="false" ht="15" hidden="false" customHeight="false" outlineLevel="0" collapsed="false">
      <c r="A101" s="6" t="s">
        <v>127</v>
      </c>
      <c r="B101" s="6" t="s">
        <v>27</v>
      </c>
      <c r="C101" s="6" t="s">
        <v>19</v>
      </c>
      <c r="D101" s="6" t="s">
        <v>120</v>
      </c>
      <c r="E101" s="6" t="n">
        <v>142</v>
      </c>
      <c r="F101" s="6" t="n">
        <v>11</v>
      </c>
      <c r="G101" s="7" t="n">
        <v>22</v>
      </c>
      <c r="H101" s="7" t="n">
        <v>33</v>
      </c>
      <c r="I101" s="8" t="n">
        <v>3124</v>
      </c>
      <c r="J101" s="8" t="n">
        <v>363</v>
      </c>
      <c r="K101" s="8" t="n">
        <v>3487</v>
      </c>
      <c r="L101" s="6" t="s">
        <v>17</v>
      </c>
    </row>
    <row r="102" customFormat="false" ht="15" hidden="false" customHeight="false" outlineLevel="0" collapsed="false">
      <c r="A102" s="3" t="s">
        <v>128</v>
      </c>
      <c r="B102" s="3" t="s">
        <v>27</v>
      </c>
      <c r="C102" s="3" t="s">
        <v>21</v>
      </c>
      <c r="D102" s="3" t="s">
        <v>120</v>
      </c>
      <c r="E102" s="3" t="n">
        <v>167</v>
      </c>
      <c r="F102" s="3" t="n">
        <v>16</v>
      </c>
      <c r="G102" s="4" t="n">
        <v>25</v>
      </c>
      <c r="H102" s="4" t="n">
        <v>37.5</v>
      </c>
      <c r="I102" s="5" t="n">
        <v>4175</v>
      </c>
      <c r="J102" s="5" t="n">
        <v>600</v>
      </c>
      <c r="K102" s="5" t="n">
        <v>4775</v>
      </c>
      <c r="L102" s="3" t="s">
        <v>17</v>
      </c>
    </row>
    <row r="103" customFormat="false" ht="15" hidden="false" customHeight="false" outlineLevel="0" collapsed="false">
      <c r="A103" s="6" t="s">
        <v>129</v>
      </c>
      <c r="B103" s="6" t="s">
        <v>32</v>
      </c>
      <c r="C103" s="6" t="s">
        <v>15</v>
      </c>
      <c r="D103" s="6" t="s">
        <v>120</v>
      </c>
      <c r="E103" s="6" t="n">
        <v>172</v>
      </c>
      <c r="F103" s="6" t="n">
        <v>31</v>
      </c>
      <c r="G103" s="7" t="n">
        <v>32</v>
      </c>
      <c r="H103" s="7" t="n">
        <v>48</v>
      </c>
      <c r="I103" s="8" t="n">
        <v>5504</v>
      </c>
      <c r="J103" s="8" t="n">
        <v>1488</v>
      </c>
      <c r="K103" s="8" t="n">
        <v>6992</v>
      </c>
      <c r="L103" s="6" t="s">
        <v>17</v>
      </c>
    </row>
    <row r="104" customFormat="false" ht="15" hidden="false" customHeight="false" outlineLevel="0" collapsed="false">
      <c r="A104" s="3" t="s">
        <v>130</v>
      </c>
      <c r="B104" s="3" t="s">
        <v>32</v>
      </c>
      <c r="C104" s="3" t="s">
        <v>19</v>
      </c>
      <c r="D104" s="3" t="s">
        <v>120</v>
      </c>
      <c r="E104" s="3" t="n">
        <v>157</v>
      </c>
      <c r="F104" s="3" t="n">
        <v>3</v>
      </c>
      <c r="G104" s="4" t="n">
        <v>32</v>
      </c>
      <c r="H104" s="4" t="n">
        <v>48</v>
      </c>
      <c r="I104" s="5" t="n">
        <v>5024</v>
      </c>
      <c r="J104" s="5" t="n">
        <v>144</v>
      </c>
      <c r="K104" s="5" t="n">
        <v>5168</v>
      </c>
      <c r="L104" s="3" t="s">
        <v>17</v>
      </c>
    </row>
    <row r="105" customFormat="false" ht="15" hidden="false" customHeight="false" outlineLevel="0" collapsed="false">
      <c r="A105" s="6" t="s">
        <v>131</v>
      </c>
      <c r="B105" s="6" t="s">
        <v>32</v>
      </c>
      <c r="C105" s="6" t="s">
        <v>21</v>
      </c>
      <c r="D105" s="6" t="s">
        <v>120</v>
      </c>
      <c r="E105" s="6" t="n">
        <v>144</v>
      </c>
      <c r="F105" s="6" t="n">
        <v>17</v>
      </c>
      <c r="G105" s="7" t="n">
        <v>18</v>
      </c>
      <c r="H105" s="7" t="n">
        <v>27</v>
      </c>
      <c r="I105" s="8" t="n">
        <v>2592</v>
      </c>
      <c r="J105" s="8" t="n">
        <v>459</v>
      </c>
      <c r="K105" s="8" t="n">
        <v>3051</v>
      </c>
      <c r="L105" s="6" t="s">
        <v>17</v>
      </c>
    </row>
    <row r="106" customFormat="false" ht="15" hidden="false" customHeight="false" outlineLevel="0" collapsed="false">
      <c r="A106" s="3" t="s">
        <v>132</v>
      </c>
      <c r="B106" s="3" t="s">
        <v>36</v>
      </c>
      <c r="C106" s="3" t="s">
        <v>15</v>
      </c>
      <c r="D106" s="3" t="s">
        <v>120</v>
      </c>
      <c r="E106" s="3" t="n">
        <v>156</v>
      </c>
      <c r="F106" s="3" t="n">
        <v>5</v>
      </c>
      <c r="G106" s="4" t="n">
        <v>28</v>
      </c>
      <c r="H106" s="4" t="n">
        <v>42</v>
      </c>
      <c r="I106" s="5" t="n">
        <v>4368</v>
      </c>
      <c r="J106" s="5" t="n">
        <v>210</v>
      </c>
      <c r="K106" s="5" t="n">
        <v>4578</v>
      </c>
      <c r="L106" s="3" t="s">
        <v>30</v>
      </c>
    </row>
    <row r="107" customFormat="false" ht="15" hidden="false" customHeight="false" outlineLevel="0" collapsed="false">
      <c r="A107" s="6" t="s">
        <v>133</v>
      </c>
      <c r="B107" s="6" t="s">
        <v>36</v>
      </c>
      <c r="C107" s="6" t="s">
        <v>19</v>
      </c>
      <c r="D107" s="6" t="s">
        <v>120</v>
      </c>
      <c r="E107" s="6" t="n">
        <v>144</v>
      </c>
      <c r="F107" s="6" t="n">
        <v>16</v>
      </c>
      <c r="G107" s="7" t="n">
        <v>18</v>
      </c>
      <c r="H107" s="7" t="n">
        <v>27</v>
      </c>
      <c r="I107" s="8" t="n">
        <v>2592</v>
      </c>
      <c r="J107" s="8" t="n">
        <v>432</v>
      </c>
      <c r="K107" s="8" t="n">
        <v>3024</v>
      </c>
      <c r="L107" s="6" t="s">
        <v>17</v>
      </c>
    </row>
    <row r="108" customFormat="false" ht="15" hidden="false" customHeight="false" outlineLevel="0" collapsed="false">
      <c r="A108" s="3" t="s">
        <v>134</v>
      </c>
      <c r="B108" s="3" t="s">
        <v>36</v>
      </c>
      <c r="C108" s="3" t="s">
        <v>21</v>
      </c>
      <c r="D108" s="3" t="s">
        <v>120</v>
      </c>
      <c r="E108" s="3" t="n">
        <v>161</v>
      </c>
      <c r="F108" s="3" t="n">
        <v>26</v>
      </c>
      <c r="G108" s="4" t="n">
        <v>22</v>
      </c>
      <c r="H108" s="4" t="n">
        <v>33</v>
      </c>
      <c r="I108" s="5" t="n">
        <v>3542</v>
      </c>
      <c r="J108" s="5" t="n">
        <v>858</v>
      </c>
      <c r="K108" s="5" t="n">
        <v>4400</v>
      </c>
      <c r="L108" s="3" t="s">
        <v>17</v>
      </c>
    </row>
    <row r="109" customFormat="false" ht="15" hidden="false" customHeight="false" outlineLevel="0" collapsed="false">
      <c r="A109" s="6" t="s">
        <v>135</v>
      </c>
      <c r="B109" s="6" t="s">
        <v>14</v>
      </c>
      <c r="C109" s="6" t="s">
        <v>15</v>
      </c>
      <c r="D109" s="6" t="s">
        <v>136</v>
      </c>
      <c r="E109" s="6" t="n">
        <v>142</v>
      </c>
      <c r="F109" s="6" t="n">
        <v>15</v>
      </c>
      <c r="G109" s="7" t="n">
        <v>18</v>
      </c>
      <c r="H109" s="7" t="n">
        <v>27</v>
      </c>
      <c r="I109" s="8" t="n">
        <v>2556</v>
      </c>
      <c r="J109" s="8" t="n">
        <v>405</v>
      </c>
      <c r="K109" s="8" t="n">
        <v>2961</v>
      </c>
      <c r="L109" s="6" t="s">
        <v>30</v>
      </c>
    </row>
    <row r="110" customFormat="false" ht="15" hidden="false" customHeight="false" outlineLevel="0" collapsed="false">
      <c r="A110" s="3" t="s">
        <v>137</v>
      </c>
      <c r="B110" s="3" t="s">
        <v>14</v>
      </c>
      <c r="C110" s="3" t="s">
        <v>19</v>
      </c>
      <c r="D110" s="3" t="s">
        <v>136</v>
      </c>
      <c r="E110" s="3" t="n">
        <v>156</v>
      </c>
      <c r="F110" s="3" t="n">
        <v>3</v>
      </c>
      <c r="G110" s="4" t="n">
        <v>20</v>
      </c>
      <c r="H110" s="4" t="n">
        <v>30</v>
      </c>
      <c r="I110" s="5" t="n">
        <v>3120</v>
      </c>
      <c r="J110" s="5" t="n">
        <v>90</v>
      </c>
      <c r="K110" s="5" t="n">
        <v>3210</v>
      </c>
      <c r="L110" s="3" t="s">
        <v>17</v>
      </c>
    </row>
    <row r="111" customFormat="false" ht="15" hidden="false" customHeight="false" outlineLevel="0" collapsed="false">
      <c r="A111" s="6" t="s">
        <v>138</v>
      </c>
      <c r="B111" s="6" t="s">
        <v>14</v>
      </c>
      <c r="C111" s="6" t="s">
        <v>21</v>
      </c>
      <c r="D111" s="6" t="s">
        <v>136</v>
      </c>
      <c r="E111" s="6" t="n">
        <v>159</v>
      </c>
      <c r="F111" s="6" t="n">
        <v>19</v>
      </c>
      <c r="G111" s="7" t="n">
        <v>28</v>
      </c>
      <c r="H111" s="7" t="n">
        <v>42</v>
      </c>
      <c r="I111" s="8" t="n">
        <v>4452</v>
      </c>
      <c r="J111" s="8" t="n">
        <v>798</v>
      </c>
      <c r="K111" s="8" t="n">
        <v>5250</v>
      </c>
      <c r="L111" s="6" t="s">
        <v>17</v>
      </c>
    </row>
    <row r="112" customFormat="false" ht="15" hidden="false" customHeight="false" outlineLevel="0" collapsed="false">
      <c r="A112" s="3" t="s">
        <v>139</v>
      </c>
      <c r="B112" s="3" t="s">
        <v>23</v>
      </c>
      <c r="C112" s="3" t="s">
        <v>15</v>
      </c>
      <c r="D112" s="3" t="s">
        <v>136</v>
      </c>
      <c r="E112" s="3" t="n">
        <v>158</v>
      </c>
      <c r="F112" s="3" t="n">
        <v>28</v>
      </c>
      <c r="G112" s="4" t="n">
        <v>28</v>
      </c>
      <c r="H112" s="4" t="n">
        <v>42</v>
      </c>
      <c r="I112" s="5" t="n">
        <v>4424</v>
      </c>
      <c r="J112" s="5" t="n">
        <v>1176</v>
      </c>
      <c r="K112" s="5" t="n">
        <v>5600</v>
      </c>
      <c r="L112" s="3" t="s">
        <v>17</v>
      </c>
    </row>
    <row r="113" customFormat="false" ht="15" hidden="false" customHeight="false" outlineLevel="0" collapsed="false">
      <c r="A113" s="6" t="s">
        <v>140</v>
      </c>
      <c r="B113" s="6" t="s">
        <v>23</v>
      </c>
      <c r="C113" s="6" t="s">
        <v>19</v>
      </c>
      <c r="D113" s="6" t="s">
        <v>136</v>
      </c>
      <c r="E113" s="6" t="n">
        <v>157</v>
      </c>
      <c r="F113" s="6" t="n">
        <v>22</v>
      </c>
      <c r="G113" s="7" t="n">
        <v>18</v>
      </c>
      <c r="H113" s="7" t="n">
        <v>27</v>
      </c>
      <c r="I113" s="8" t="n">
        <v>2826</v>
      </c>
      <c r="J113" s="8" t="n">
        <v>594</v>
      </c>
      <c r="K113" s="8" t="n">
        <v>3420</v>
      </c>
      <c r="L113" s="6" t="s">
        <v>30</v>
      </c>
    </row>
    <row r="114" customFormat="false" ht="15" hidden="false" customHeight="false" outlineLevel="0" collapsed="false">
      <c r="A114" s="3" t="s">
        <v>141</v>
      </c>
      <c r="B114" s="3" t="s">
        <v>23</v>
      </c>
      <c r="C114" s="3" t="s">
        <v>21</v>
      </c>
      <c r="D114" s="3" t="s">
        <v>136</v>
      </c>
      <c r="E114" s="3" t="n">
        <v>142</v>
      </c>
      <c r="F114" s="3" t="n">
        <v>0</v>
      </c>
      <c r="G114" s="4" t="n">
        <v>18</v>
      </c>
      <c r="H114" s="4" t="n">
        <v>27</v>
      </c>
      <c r="I114" s="5" t="n">
        <v>2556</v>
      </c>
      <c r="J114" s="5" t="n">
        <v>0</v>
      </c>
      <c r="K114" s="5" t="n">
        <v>2556</v>
      </c>
      <c r="L114" s="3" t="s">
        <v>17</v>
      </c>
    </row>
    <row r="115" customFormat="false" ht="15" hidden="false" customHeight="false" outlineLevel="0" collapsed="false">
      <c r="A115" s="6" t="s">
        <v>142</v>
      </c>
      <c r="B115" s="6" t="s">
        <v>27</v>
      </c>
      <c r="C115" s="6" t="s">
        <v>15</v>
      </c>
      <c r="D115" s="6" t="s">
        <v>136</v>
      </c>
      <c r="E115" s="6" t="n">
        <v>175</v>
      </c>
      <c r="F115" s="6" t="n">
        <v>12</v>
      </c>
      <c r="G115" s="7" t="n">
        <v>28</v>
      </c>
      <c r="H115" s="7" t="n">
        <v>42</v>
      </c>
      <c r="I115" s="8" t="n">
        <v>4900</v>
      </c>
      <c r="J115" s="8" t="n">
        <v>504</v>
      </c>
      <c r="K115" s="8" t="n">
        <v>5404</v>
      </c>
      <c r="L115" s="6" t="s">
        <v>17</v>
      </c>
    </row>
    <row r="116" customFormat="false" ht="15" hidden="false" customHeight="false" outlineLevel="0" collapsed="false">
      <c r="A116" s="3" t="s">
        <v>143</v>
      </c>
      <c r="B116" s="3" t="s">
        <v>27</v>
      </c>
      <c r="C116" s="3" t="s">
        <v>19</v>
      </c>
      <c r="D116" s="3" t="s">
        <v>136</v>
      </c>
      <c r="E116" s="3" t="n">
        <v>168</v>
      </c>
      <c r="F116" s="3" t="n">
        <v>6</v>
      </c>
      <c r="G116" s="4" t="n">
        <v>32</v>
      </c>
      <c r="H116" s="4" t="n">
        <v>48</v>
      </c>
      <c r="I116" s="5" t="n">
        <v>5376</v>
      </c>
      <c r="J116" s="5" t="n">
        <v>288</v>
      </c>
      <c r="K116" s="5" t="n">
        <v>5664</v>
      </c>
      <c r="L116" s="3" t="s">
        <v>30</v>
      </c>
    </row>
    <row r="117" customFormat="false" ht="15" hidden="false" customHeight="false" outlineLevel="0" collapsed="false">
      <c r="A117" s="6" t="s">
        <v>144</v>
      </c>
      <c r="B117" s="6" t="s">
        <v>27</v>
      </c>
      <c r="C117" s="6" t="s">
        <v>21</v>
      </c>
      <c r="D117" s="6" t="s">
        <v>136</v>
      </c>
      <c r="E117" s="6" t="n">
        <v>167</v>
      </c>
      <c r="F117" s="6" t="n">
        <v>31</v>
      </c>
      <c r="G117" s="7" t="n">
        <v>28</v>
      </c>
      <c r="H117" s="7" t="n">
        <v>42</v>
      </c>
      <c r="I117" s="8" t="n">
        <v>4676</v>
      </c>
      <c r="J117" s="8" t="n">
        <v>1302</v>
      </c>
      <c r="K117" s="8" t="n">
        <v>5978</v>
      </c>
      <c r="L117" s="6" t="s">
        <v>30</v>
      </c>
    </row>
    <row r="118" customFormat="false" ht="15" hidden="false" customHeight="false" outlineLevel="0" collapsed="false">
      <c r="A118" s="3" t="s">
        <v>145</v>
      </c>
      <c r="B118" s="3" t="s">
        <v>32</v>
      </c>
      <c r="C118" s="3" t="s">
        <v>15</v>
      </c>
      <c r="D118" s="3" t="s">
        <v>136</v>
      </c>
      <c r="E118" s="3" t="n">
        <v>165</v>
      </c>
      <c r="F118" s="3" t="n">
        <v>32</v>
      </c>
      <c r="G118" s="4" t="n">
        <v>22</v>
      </c>
      <c r="H118" s="4" t="n">
        <v>33</v>
      </c>
      <c r="I118" s="5" t="n">
        <v>3630</v>
      </c>
      <c r="J118" s="5" t="n">
        <v>1056</v>
      </c>
      <c r="K118" s="5" t="n">
        <v>4686</v>
      </c>
      <c r="L118" s="3" t="s">
        <v>17</v>
      </c>
    </row>
    <row r="119" customFormat="false" ht="15" hidden="false" customHeight="false" outlineLevel="0" collapsed="false">
      <c r="A119" s="6" t="s">
        <v>146</v>
      </c>
      <c r="B119" s="6" t="s">
        <v>32</v>
      </c>
      <c r="C119" s="6" t="s">
        <v>19</v>
      </c>
      <c r="D119" s="6" t="s">
        <v>136</v>
      </c>
      <c r="E119" s="6" t="n">
        <v>154</v>
      </c>
      <c r="F119" s="6" t="n">
        <v>21</v>
      </c>
      <c r="G119" s="7" t="n">
        <v>20</v>
      </c>
      <c r="H119" s="7" t="n">
        <v>30</v>
      </c>
      <c r="I119" s="8" t="n">
        <v>3080</v>
      </c>
      <c r="J119" s="8" t="n">
        <v>630</v>
      </c>
      <c r="K119" s="8" t="n">
        <v>3710</v>
      </c>
      <c r="L119" s="6" t="s">
        <v>30</v>
      </c>
    </row>
    <row r="120" customFormat="false" ht="15" hidden="false" customHeight="false" outlineLevel="0" collapsed="false">
      <c r="A120" s="3" t="s">
        <v>147</v>
      </c>
      <c r="B120" s="3" t="s">
        <v>32</v>
      </c>
      <c r="C120" s="3" t="s">
        <v>21</v>
      </c>
      <c r="D120" s="3" t="s">
        <v>136</v>
      </c>
      <c r="E120" s="3" t="n">
        <v>148</v>
      </c>
      <c r="F120" s="3" t="n">
        <v>25</v>
      </c>
      <c r="G120" s="4" t="n">
        <v>22</v>
      </c>
      <c r="H120" s="4" t="n">
        <v>33</v>
      </c>
      <c r="I120" s="5" t="n">
        <v>3256</v>
      </c>
      <c r="J120" s="5" t="n">
        <v>825</v>
      </c>
      <c r="K120" s="5" t="n">
        <v>4081</v>
      </c>
      <c r="L120" s="3" t="s">
        <v>30</v>
      </c>
    </row>
    <row r="121" customFormat="false" ht="15" hidden="false" customHeight="false" outlineLevel="0" collapsed="false">
      <c r="A121" s="6" t="s">
        <v>148</v>
      </c>
      <c r="B121" s="6" t="s">
        <v>36</v>
      </c>
      <c r="C121" s="6" t="s">
        <v>15</v>
      </c>
      <c r="D121" s="6" t="s">
        <v>136</v>
      </c>
      <c r="E121" s="6" t="n">
        <v>148</v>
      </c>
      <c r="F121" s="6" t="n">
        <v>0</v>
      </c>
      <c r="G121" s="7" t="n">
        <v>18</v>
      </c>
      <c r="H121" s="7" t="n">
        <v>27</v>
      </c>
      <c r="I121" s="8" t="n">
        <v>2664</v>
      </c>
      <c r="J121" s="8" t="n">
        <v>0</v>
      </c>
      <c r="K121" s="8" t="n">
        <v>2664</v>
      </c>
      <c r="L121" s="6" t="s">
        <v>17</v>
      </c>
    </row>
    <row r="122" customFormat="false" ht="15" hidden="false" customHeight="false" outlineLevel="0" collapsed="false">
      <c r="A122" s="3" t="s">
        <v>149</v>
      </c>
      <c r="B122" s="3" t="s">
        <v>36</v>
      </c>
      <c r="C122" s="3" t="s">
        <v>19</v>
      </c>
      <c r="D122" s="3" t="s">
        <v>136</v>
      </c>
      <c r="E122" s="3" t="n">
        <v>156</v>
      </c>
      <c r="F122" s="3" t="n">
        <v>27</v>
      </c>
      <c r="G122" s="4" t="n">
        <v>20</v>
      </c>
      <c r="H122" s="4" t="n">
        <v>30</v>
      </c>
      <c r="I122" s="5" t="n">
        <v>3120</v>
      </c>
      <c r="J122" s="5" t="n">
        <v>810</v>
      </c>
      <c r="K122" s="5" t="n">
        <v>3930</v>
      </c>
      <c r="L122" s="3" t="s">
        <v>17</v>
      </c>
    </row>
    <row r="123" customFormat="false" ht="15" hidden="false" customHeight="false" outlineLevel="0" collapsed="false">
      <c r="A123" s="6" t="s">
        <v>150</v>
      </c>
      <c r="B123" s="6" t="s">
        <v>36</v>
      </c>
      <c r="C123" s="6" t="s">
        <v>21</v>
      </c>
      <c r="D123" s="6" t="s">
        <v>136</v>
      </c>
      <c r="E123" s="6" t="n">
        <v>164</v>
      </c>
      <c r="F123" s="6" t="n">
        <v>32</v>
      </c>
      <c r="G123" s="7" t="n">
        <v>32</v>
      </c>
      <c r="H123" s="7" t="n">
        <v>48</v>
      </c>
      <c r="I123" s="8" t="n">
        <v>5248</v>
      </c>
      <c r="J123" s="8" t="n">
        <v>1536</v>
      </c>
      <c r="K123" s="8" t="n">
        <v>6784</v>
      </c>
      <c r="L123" s="6" t="s">
        <v>30</v>
      </c>
    </row>
    <row r="124" customFormat="false" ht="15" hidden="false" customHeight="false" outlineLevel="0" collapsed="false">
      <c r="A124" s="3" t="s">
        <v>151</v>
      </c>
      <c r="B124" s="3" t="s">
        <v>14</v>
      </c>
      <c r="C124" s="3" t="s">
        <v>15</v>
      </c>
      <c r="D124" s="3" t="s">
        <v>152</v>
      </c>
      <c r="E124" s="3" t="n">
        <v>155</v>
      </c>
      <c r="F124" s="3" t="n">
        <v>18</v>
      </c>
      <c r="G124" s="4" t="n">
        <v>18</v>
      </c>
      <c r="H124" s="4" t="n">
        <v>27</v>
      </c>
      <c r="I124" s="5" t="n">
        <v>2790</v>
      </c>
      <c r="J124" s="5" t="n">
        <v>486</v>
      </c>
      <c r="K124" s="5" t="n">
        <v>3276</v>
      </c>
      <c r="L124" s="3" t="s">
        <v>17</v>
      </c>
    </row>
    <row r="125" customFormat="false" ht="15" hidden="false" customHeight="false" outlineLevel="0" collapsed="false">
      <c r="A125" s="6" t="s">
        <v>153</v>
      </c>
      <c r="B125" s="6" t="s">
        <v>14</v>
      </c>
      <c r="C125" s="6" t="s">
        <v>19</v>
      </c>
      <c r="D125" s="6" t="s">
        <v>152</v>
      </c>
      <c r="E125" s="6" t="n">
        <v>150</v>
      </c>
      <c r="F125" s="6" t="n">
        <v>17</v>
      </c>
      <c r="G125" s="7" t="n">
        <v>25</v>
      </c>
      <c r="H125" s="7" t="n">
        <v>37.5</v>
      </c>
      <c r="I125" s="8" t="n">
        <v>3750</v>
      </c>
      <c r="J125" s="8" t="n">
        <v>637.5</v>
      </c>
      <c r="K125" s="8" t="n">
        <v>4387.5</v>
      </c>
      <c r="L125" s="6" t="s">
        <v>17</v>
      </c>
    </row>
    <row r="126" customFormat="false" ht="15" hidden="false" customHeight="false" outlineLevel="0" collapsed="false">
      <c r="A126" s="3" t="s">
        <v>154</v>
      </c>
      <c r="B126" s="3" t="s">
        <v>14</v>
      </c>
      <c r="C126" s="3" t="s">
        <v>21</v>
      </c>
      <c r="D126" s="3" t="s">
        <v>152</v>
      </c>
      <c r="E126" s="3" t="n">
        <v>163</v>
      </c>
      <c r="F126" s="3" t="n">
        <v>21</v>
      </c>
      <c r="G126" s="4" t="n">
        <v>28</v>
      </c>
      <c r="H126" s="4" t="n">
        <v>42</v>
      </c>
      <c r="I126" s="5" t="n">
        <v>4564</v>
      </c>
      <c r="J126" s="5" t="n">
        <v>882</v>
      </c>
      <c r="K126" s="5" t="n">
        <v>5446</v>
      </c>
      <c r="L126" s="3" t="s">
        <v>17</v>
      </c>
    </row>
    <row r="127" customFormat="false" ht="15" hidden="false" customHeight="false" outlineLevel="0" collapsed="false">
      <c r="A127" s="6" t="s">
        <v>155</v>
      </c>
      <c r="B127" s="6" t="s">
        <v>23</v>
      </c>
      <c r="C127" s="6" t="s">
        <v>15</v>
      </c>
      <c r="D127" s="6" t="s">
        <v>152</v>
      </c>
      <c r="E127" s="6" t="n">
        <v>142</v>
      </c>
      <c r="F127" s="6" t="n">
        <v>19</v>
      </c>
      <c r="G127" s="7" t="n">
        <v>20</v>
      </c>
      <c r="H127" s="7" t="n">
        <v>30</v>
      </c>
      <c r="I127" s="8" t="n">
        <v>2840</v>
      </c>
      <c r="J127" s="8" t="n">
        <v>570</v>
      </c>
      <c r="K127" s="8" t="n">
        <v>3410</v>
      </c>
      <c r="L127" s="6" t="s">
        <v>17</v>
      </c>
    </row>
    <row r="128" customFormat="false" ht="15" hidden="false" customHeight="false" outlineLevel="0" collapsed="false">
      <c r="A128" s="3" t="s">
        <v>156</v>
      </c>
      <c r="B128" s="3" t="s">
        <v>23</v>
      </c>
      <c r="C128" s="3" t="s">
        <v>19</v>
      </c>
      <c r="D128" s="3" t="s">
        <v>152</v>
      </c>
      <c r="E128" s="3" t="n">
        <v>140</v>
      </c>
      <c r="F128" s="3" t="n">
        <v>21</v>
      </c>
      <c r="G128" s="4" t="n">
        <v>25</v>
      </c>
      <c r="H128" s="4" t="n">
        <v>37.5</v>
      </c>
      <c r="I128" s="5" t="n">
        <v>3500</v>
      </c>
      <c r="J128" s="5" t="n">
        <v>787.5</v>
      </c>
      <c r="K128" s="5" t="n">
        <v>4287.5</v>
      </c>
      <c r="L128" s="3" t="s">
        <v>17</v>
      </c>
    </row>
    <row r="129" customFormat="false" ht="15" hidden="false" customHeight="false" outlineLevel="0" collapsed="false">
      <c r="A129" s="6" t="s">
        <v>157</v>
      </c>
      <c r="B129" s="6" t="s">
        <v>23</v>
      </c>
      <c r="C129" s="6" t="s">
        <v>21</v>
      </c>
      <c r="D129" s="6" t="s">
        <v>152</v>
      </c>
      <c r="E129" s="6" t="n">
        <v>157</v>
      </c>
      <c r="F129" s="6" t="n">
        <v>32</v>
      </c>
      <c r="G129" s="7" t="n">
        <v>32</v>
      </c>
      <c r="H129" s="7" t="n">
        <v>48</v>
      </c>
      <c r="I129" s="8" t="n">
        <v>5024</v>
      </c>
      <c r="J129" s="8" t="n">
        <v>1536</v>
      </c>
      <c r="K129" s="8" t="n">
        <v>6560</v>
      </c>
      <c r="L129" s="6" t="s">
        <v>17</v>
      </c>
    </row>
    <row r="130" customFormat="false" ht="15" hidden="false" customHeight="false" outlineLevel="0" collapsed="false">
      <c r="A130" s="3" t="s">
        <v>158</v>
      </c>
      <c r="B130" s="3" t="s">
        <v>27</v>
      </c>
      <c r="C130" s="3" t="s">
        <v>15</v>
      </c>
      <c r="D130" s="3" t="s">
        <v>152</v>
      </c>
      <c r="E130" s="3" t="n">
        <v>172</v>
      </c>
      <c r="F130" s="3" t="n">
        <v>0</v>
      </c>
      <c r="G130" s="4" t="n">
        <v>18</v>
      </c>
      <c r="H130" s="4" t="n">
        <v>27</v>
      </c>
      <c r="I130" s="5" t="n">
        <v>3096</v>
      </c>
      <c r="J130" s="5" t="n">
        <v>0</v>
      </c>
      <c r="K130" s="5" t="n">
        <v>3096</v>
      </c>
      <c r="L130" s="3" t="s">
        <v>17</v>
      </c>
    </row>
    <row r="131" customFormat="false" ht="15" hidden="false" customHeight="false" outlineLevel="0" collapsed="false">
      <c r="A131" s="6" t="s">
        <v>159</v>
      </c>
      <c r="B131" s="6" t="s">
        <v>27</v>
      </c>
      <c r="C131" s="6" t="s">
        <v>19</v>
      </c>
      <c r="D131" s="6" t="s">
        <v>152</v>
      </c>
      <c r="E131" s="6" t="n">
        <v>145</v>
      </c>
      <c r="F131" s="6" t="n">
        <v>9</v>
      </c>
      <c r="G131" s="7" t="n">
        <v>25</v>
      </c>
      <c r="H131" s="7" t="n">
        <v>37.5</v>
      </c>
      <c r="I131" s="8" t="n">
        <v>3625</v>
      </c>
      <c r="J131" s="8" t="n">
        <v>337.5</v>
      </c>
      <c r="K131" s="8" t="n">
        <v>3962.5</v>
      </c>
      <c r="L131" s="6" t="s">
        <v>17</v>
      </c>
    </row>
    <row r="132" customFormat="false" ht="15" hidden="false" customHeight="false" outlineLevel="0" collapsed="false">
      <c r="A132" s="3" t="s">
        <v>160</v>
      </c>
      <c r="B132" s="3" t="s">
        <v>27</v>
      </c>
      <c r="C132" s="3" t="s">
        <v>21</v>
      </c>
      <c r="D132" s="3" t="s">
        <v>152</v>
      </c>
      <c r="E132" s="3" t="n">
        <v>165</v>
      </c>
      <c r="F132" s="3" t="n">
        <v>1</v>
      </c>
      <c r="G132" s="4" t="n">
        <v>22</v>
      </c>
      <c r="H132" s="4" t="n">
        <v>33</v>
      </c>
      <c r="I132" s="5" t="n">
        <v>3630</v>
      </c>
      <c r="J132" s="5" t="n">
        <v>33</v>
      </c>
      <c r="K132" s="5" t="n">
        <v>3663</v>
      </c>
      <c r="L132" s="3" t="s">
        <v>17</v>
      </c>
    </row>
    <row r="133" customFormat="false" ht="15" hidden="false" customHeight="false" outlineLevel="0" collapsed="false">
      <c r="A133" s="6" t="s">
        <v>161</v>
      </c>
      <c r="B133" s="6" t="s">
        <v>32</v>
      </c>
      <c r="C133" s="6" t="s">
        <v>15</v>
      </c>
      <c r="D133" s="6" t="s">
        <v>152</v>
      </c>
      <c r="E133" s="6" t="n">
        <v>154</v>
      </c>
      <c r="F133" s="6" t="n">
        <v>5</v>
      </c>
      <c r="G133" s="7" t="n">
        <v>28</v>
      </c>
      <c r="H133" s="7" t="n">
        <v>42</v>
      </c>
      <c r="I133" s="8" t="n">
        <v>4312</v>
      </c>
      <c r="J133" s="8" t="n">
        <v>210</v>
      </c>
      <c r="K133" s="8" t="n">
        <v>4522</v>
      </c>
      <c r="L133" s="6" t="s">
        <v>30</v>
      </c>
    </row>
    <row r="134" customFormat="false" ht="15" hidden="false" customHeight="false" outlineLevel="0" collapsed="false">
      <c r="A134" s="3" t="s">
        <v>162</v>
      </c>
      <c r="B134" s="3" t="s">
        <v>32</v>
      </c>
      <c r="C134" s="3" t="s">
        <v>19</v>
      </c>
      <c r="D134" s="3" t="s">
        <v>152</v>
      </c>
      <c r="E134" s="3" t="n">
        <v>149</v>
      </c>
      <c r="F134" s="3" t="n">
        <v>24</v>
      </c>
      <c r="G134" s="4" t="n">
        <v>22</v>
      </c>
      <c r="H134" s="4" t="n">
        <v>33</v>
      </c>
      <c r="I134" s="5" t="n">
        <v>3278</v>
      </c>
      <c r="J134" s="5" t="n">
        <v>792</v>
      </c>
      <c r="K134" s="5" t="n">
        <v>4070</v>
      </c>
      <c r="L134" s="3" t="s">
        <v>17</v>
      </c>
    </row>
    <row r="135" customFormat="false" ht="15" hidden="false" customHeight="false" outlineLevel="0" collapsed="false">
      <c r="A135" s="6" t="s">
        <v>163</v>
      </c>
      <c r="B135" s="6" t="s">
        <v>32</v>
      </c>
      <c r="C135" s="6" t="s">
        <v>21</v>
      </c>
      <c r="D135" s="6" t="s">
        <v>152</v>
      </c>
      <c r="E135" s="6" t="n">
        <v>171</v>
      </c>
      <c r="F135" s="6" t="n">
        <v>9</v>
      </c>
      <c r="G135" s="7" t="n">
        <v>22</v>
      </c>
      <c r="H135" s="7" t="n">
        <v>33</v>
      </c>
      <c r="I135" s="8" t="n">
        <v>3762</v>
      </c>
      <c r="J135" s="8" t="n">
        <v>297</v>
      </c>
      <c r="K135" s="8" t="n">
        <v>4059</v>
      </c>
      <c r="L135" s="6" t="s">
        <v>17</v>
      </c>
    </row>
    <row r="136" customFormat="false" ht="15" hidden="false" customHeight="false" outlineLevel="0" collapsed="false">
      <c r="A136" s="3" t="s">
        <v>164</v>
      </c>
      <c r="B136" s="3" t="s">
        <v>36</v>
      </c>
      <c r="C136" s="3" t="s">
        <v>15</v>
      </c>
      <c r="D136" s="3" t="s">
        <v>152</v>
      </c>
      <c r="E136" s="3" t="n">
        <v>149</v>
      </c>
      <c r="F136" s="3" t="n">
        <v>2</v>
      </c>
      <c r="G136" s="4" t="n">
        <v>32</v>
      </c>
      <c r="H136" s="4" t="n">
        <v>48</v>
      </c>
      <c r="I136" s="5" t="n">
        <v>4768</v>
      </c>
      <c r="J136" s="5" t="n">
        <v>96</v>
      </c>
      <c r="K136" s="5" t="n">
        <v>4864</v>
      </c>
      <c r="L136" s="3" t="s">
        <v>30</v>
      </c>
    </row>
    <row r="137" customFormat="false" ht="15" hidden="false" customHeight="false" outlineLevel="0" collapsed="false">
      <c r="A137" s="6" t="s">
        <v>165</v>
      </c>
      <c r="B137" s="6" t="s">
        <v>36</v>
      </c>
      <c r="C137" s="6" t="s">
        <v>19</v>
      </c>
      <c r="D137" s="6" t="s">
        <v>152</v>
      </c>
      <c r="E137" s="6" t="n">
        <v>167</v>
      </c>
      <c r="F137" s="6" t="n">
        <v>32</v>
      </c>
      <c r="G137" s="7" t="n">
        <v>20</v>
      </c>
      <c r="H137" s="7" t="n">
        <v>30</v>
      </c>
      <c r="I137" s="8" t="n">
        <v>3340</v>
      </c>
      <c r="J137" s="8" t="n">
        <v>960</v>
      </c>
      <c r="K137" s="8" t="n">
        <v>4300</v>
      </c>
      <c r="L137" s="6" t="s">
        <v>30</v>
      </c>
    </row>
    <row r="138" customFormat="false" ht="15" hidden="false" customHeight="false" outlineLevel="0" collapsed="false">
      <c r="A138" s="3" t="s">
        <v>166</v>
      </c>
      <c r="B138" s="3" t="s">
        <v>36</v>
      </c>
      <c r="C138" s="3" t="s">
        <v>21</v>
      </c>
      <c r="D138" s="3" t="s">
        <v>152</v>
      </c>
      <c r="E138" s="3" t="n">
        <v>172</v>
      </c>
      <c r="F138" s="3" t="n">
        <v>1</v>
      </c>
      <c r="G138" s="4" t="n">
        <v>32</v>
      </c>
      <c r="H138" s="4" t="n">
        <v>48</v>
      </c>
      <c r="I138" s="5" t="n">
        <v>5504</v>
      </c>
      <c r="J138" s="5" t="n">
        <v>48</v>
      </c>
      <c r="K138" s="5" t="n">
        <v>5552</v>
      </c>
      <c r="L138" s="3" t="s">
        <v>17</v>
      </c>
    </row>
    <row r="139" customFormat="false" ht="15" hidden="false" customHeight="false" outlineLevel="0" collapsed="false">
      <c r="A139" s="6" t="s">
        <v>167</v>
      </c>
      <c r="B139" s="6" t="s">
        <v>14</v>
      </c>
      <c r="C139" s="6" t="s">
        <v>15</v>
      </c>
      <c r="D139" s="6" t="s">
        <v>168</v>
      </c>
      <c r="E139" s="6" t="n">
        <v>154</v>
      </c>
      <c r="F139" s="6" t="n">
        <v>5</v>
      </c>
      <c r="G139" s="7" t="n">
        <v>18</v>
      </c>
      <c r="H139" s="7" t="n">
        <v>27</v>
      </c>
      <c r="I139" s="8" t="n">
        <v>2772</v>
      </c>
      <c r="J139" s="8" t="n">
        <v>135</v>
      </c>
      <c r="K139" s="8" t="n">
        <v>2907</v>
      </c>
      <c r="L139" s="6" t="s">
        <v>17</v>
      </c>
    </row>
    <row r="140" customFormat="false" ht="15" hidden="false" customHeight="false" outlineLevel="0" collapsed="false">
      <c r="A140" s="3" t="s">
        <v>169</v>
      </c>
      <c r="B140" s="3" t="s">
        <v>14</v>
      </c>
      <c r="C140" s="3" t="s">
        <v>19</v>
      </c>
      <c r="D140" s="3" t="s">
        <v>168</v>
      </c>
      <c r="E140" s="3" t="n">
        <v>163</v>
      </c>
      <c r="F140" s="3" t="n">
        <v>6</v>
      </c>
      <c r="G140" s="4" t="n">
        <v>25</v>
      </c>
      <c r="H140" s="4" t="n">
        <v>37.5</v>
      </c>
      <c r="I140" s="5" t="n">
        <v>4075</v>
      </c>
      <c r="J140" s="5" t="n">
        <v>225</v>
      </c>
      <c r="K140" s="5" t="n">
        <v>4300</v>
      </c>
      <c r="L140" s="3" t="s">
        <v>30</v>
      </c>
    </row>
    <row r="141" customFormat="false" ht="15" hidden="false" customHeight="false" outlineLevel="0" collapsed="false">
      <c r="A141" s="6" t="s">
        <v>170</v>
      </c>
      <c r="B141" s="6" t="s">
        <v>14</v>
      </c>
      <c r="C141" s="6" t="s">
        <v>21</v>
      </c>
      <c r="D141" s="6" t="s">
        <v>168</v>
      </c>
      <c r="E141" s="6" t="n">
        <v>175</v>
      </c>
      <c r="F141" s="6" t="n">
        <v>3</v>
      </c>
      <c r="G141" s="7" t="n">
        <v>32</v>
      </c>
      <c r="H141" s="7" t="n">
        <v>48</v>
      </c>
      <c r="I141" s="8" t="n">
        <v>5600</v>
      </c>
      <c r="J141" s="8" t="n">
        <v>144</v>
      </c>
      <c r="K141" s="8" t="n">
        <v>5744</v>
      </c>
      <c r="L141" s="6" t="s">
        <v>17</v>
      </c>
    </row>
    <row r="142" customFormat="false" ht="15" hidden="false" customHeight="false" outlineLevel="0" collapsed="false">
      <c r="A142" s="3" t="s">
        <v>171</v>
      </c>
      <c r="B142" s="3" t="s">
        <v>23</v>
      </c>
      <c r="C142" s="3" t="s">
        <v>15</v>
      </c>
      <c r="D142" s="3" t="s">
        <v>168</v>
      </c>
      <c r="E142" s="3" t="n">
        <v>174</v>
      </c>
      <c r="F142" s="3" t="n">
        <v>15</v>
      </c>
      <c r="G142" s="4" t="n">
        <v>25</v>
      </c>
      <c r="H142" s="4" t="n">
        <v>37.5</v>
      </c>
      <c r="I142" s="5" t="n">
        <v>4350</v>
      </c>
      <c r="J142" s="5" t="n">
        <v>562.5</v>
      </c>
      <c r="K142" s="5" t="n">
        <v>4912.5</v>
      </c>
      <c r="L142" s="3" t="s">
        <v>17</v>
      </c>
    </row>
    <row r="143" customFormat="false" ht="15" hidden="false" customHeight="false" outlineLevel="0" collapsed="false">
      <c r="A143" s="6" t="s">
        <v>172</v>
      </c>
      <c r="B143" s="6" t="s">
        <v>23</v>
      </c>
      <c r="C143" s="6" t="s">
        <v>19</v>
      </c>
      <c r="D143" s="6" t="s">
        <v>168</v>
      </c>
      <c r="E143" s="6" t="n">
        <v>169</v>
      </c>
      <c r="F143" s="6" t="n">
        <v>4</v>
      </c>
      <c r="G143" s="7" t="n">
        <v>32</v>
      </c>
      <c r="H143" s="7" t="n">
        <v>48</v>
      </c>
      <c r="I143" s="8" t="n">
        <v>5408</v>
      </c>
      <c r="J143" s="8" t="n">
        <v>192</v>
      </c>
      <c r="K143" s="8" t="n">
        <v>5600</v>
      </c>
      <c r="L143" s="6" t="s">
        <v>30</v>
      </c>
    </row>
    <row r="144" customFormat="false" ht="15" hidden="false" customHeight="false" outlineLevel="0" collapsed="false">
      <c r="A144" s="3" t="s">
        <v>173</v>
      </c>
      <c r="B144" s="3" t="s">
        <v>23</v>
      </c>
      <c r="C144" s="3" t="s">
        <v>21</v>
      </c>
      <c r="D144" s="3" t="s">
        <v>168</v>
      </c>
      <c r="E144" s="3" t="n">
        <v>174</v>
      </c>
      <c r="F144" s="3" t="n">
        <v>5</v>
      </c>
      <c r="G144" s="4" t="n">
        <v>32</v>
      </c>
      <c r="H144" s="4" t="n">
        <v>48</v>
      </c>
      <c r="I144" s="5" t="n">
        <v>5568</v>
      </c>
      <c r="J144" s="5" t="n">
        <v>240</v>
      </c>
      <c r="K144" s="5" t="n">
        <v>5808</v>
      </c>
      <c r="L144" s="3" t="s">
        <v>17</v>
      </c>
    </row>
    <row r="145" customFormat="false" ht="15" hidden="false" customHeight="false" outlineLevel="0" collapsed="false">
      <c r="A145" s="6" t="s">
        <v>174</v>
      </c>
      <c r="B145" s="6" t="s">
        <v>27</v>
      </c>
      <c r="C145" s="6" t="s">
        <v>15</v>
      </c>
      <c r="D145" s="6" t="s">
        <v>168</v>
      </c>
      <c r="E145" s="6" t="n">
        <v>170</v>
      </c>
      <c r="F145" s="6" t="n">
        <v>16</v>
      </c>
      <c r="G145" s="7" t="n">
        <v>18</v>
      </c>
      <c r="H145" s="7" t="n">
        <v>27</v>
      </c>
      <c r="I145" s="8" t="n">
        <v>3060</v>
      </c>
      <c r="J145" s="8" t="n">
        <v>432</v>
      </c>
      <c r="K145" s="8" t="n">
        <v>3492</v>
      </c>
      <c r="L145" s="6" t="s">
        <v>30</v>
      </c>
    </row>
    <row r="146" customFormat="false" ht="15" hidden="false" customHeight="false" outlineLevel="0" collapsed="false">
      <c r="A146" s="3" t="s">
        <v>175</v>
      </c>
      <c r="B146" s="3" t="s">
        <v>27</v>
      </c>
      <c r="C146" s="3" t="s">
        <v>19</v>
      </c>
      <c r="D146" s="3" t="s">
        <v>168</v>
      </c>
      <c r="E146" s="3" t="n">
        <v>155</v>
      </c>
      <c r="F146" s="3" t="n">
        <v>13</v>
      </c>
      <c r="G146" s="4" t="n">
        <v>20</v>
      </c>
      <c r="H146" s="4" t="n">
        <v>30</v>
      </c>
      <c r="I146" s="5" t="n">
        <v>3100</v>
      </c>
      <c r="J146" s="5" t="n">
        <v>390</v>
      </c>
      <c r="K146" s="5" t="n">
        <v>3490</v>
      </c>
      <c r="L146" s="3" t="s">
        <v>17</v>
      </c>
    </row>
    <row r="147" customFormat="false" ht="15" hidden="false" customHeight="false" outlineLevel="0" collapsed="false">
      <c r="A147" s="6" t="s">
        <v>176</v>
      </c>
      <c r="B147" s="6" t="s">
        <v>27</v>
      </c>
      <c r="C147" s="6" t="s">
        <v>21</v>
      </c>
      <c r="D147" s="6" t="s">
        <v>168</v>
      </c>
      <c r="E147" s="6" t="n">
        <v>169</v>
      </c>
      <c r="F147" s="6" t="n">
        <v>31</v>
      </c>
      <c r="G147" s="7" t="n">
        <v>25</v>
      </c>
      <c r="H147" s="7" t="n">
        <v>37.5</v>
      </c>
      <c r="I147" s="8" t="n">
        <v>4225</v>
      </c>
      <c r="J147" s="8" t="n">
        <v>1162.5</v>
      </c>
      <c r="K147" s="8" t="n">
        <v>5387.5</v>
      </c>
      <c r="L147" s="6" t="s">
        <v>17</v>
      </c>
    </row>
    <row r="148" customFormat="false" ht="15" hidden="false" customHeight="false" outlineLevel="0" collapsed="false">
      <c r="A148" s="3" t="s">
        <v>177</v>
      </c>
      <c r="B148" s="3" t="s">
        <v>32</v>
      </c>
      <c r="C148" s="3" t="s">
        <v>15</v>
      </c>
      <c r="D148" s="3" t="s">
        <v>168</v>
      </c>
      <c r="E148" s="3" t="n">
        <v>158</v>
      </c>
      <c r="F148" s="3" t="n">
        <v>2</v>
      </c>
      <c r="G148" s="4" t="n">
        <v>28</v>
      </c>
      <c r="H148" s="4" t="n">
        <v>42</v>
      </c>
      <c r="I148" s="5" t="n">
        <v>4424</v>
      </c>
      <c r="J148" s="5" t="n">
        <v>84</v>
      </c>
      <c r="K148" s="5" t="n">
        <v>4508</v>
      </c>
      <c r="L148" s="3" t="s">
        <v>17</v>
      </c>
    </row>
    <row r="149" customFormat="false" ht="15" hidden="false" customHeight="false" outlineLevel="0" collapsed="false">
      <c r="A149" s="6" t="s">
        <v>178</v>
      </c>
      <c r="B149" s="6" t="s">
        <v>32</v>
      </c>
      <c r="C149" s="6" t="s">
        <v>19</v>
      </c>
      <c r="D149" s="6" t="s">
        <v>168</v>
      </c>
      <c r="E149" s="6" t="n">
        <v>152</v>
      </c>
      <c r="F149" s="6" t="n">
        <v>4</v>
      </c>
      <c r="G149" s="7" t="n">
        <v>28</v>
      </c>
      <c r="H149" s="7" t="n">
        <v>42</v>
      </c>
      <c r="I149" s="8" t="n">
        <v>4256</v>
      </c>
      <c r="J149" s="8" t="n">
        <v>168</v>
      </c>
      <c r="K149" s="8" t="n">
        <v>4424</v>
      </c>
      <c r="L149" s="6" t="s">
        <v>17</v>
      </c>
    </row>
    <row r="150" customFormat="false" ht="15" hidden="false" customHeight="false" outlineLevel="0" collapsed="false">
      <c r="A150" s="3" t="s">
        <v>179</v>
      </c>
      <c r="B150" s="3" t="s">
        <v>32</v>
      </c>
      <c r="C150" s="3" t="s">
        <v>21</v>
      </c>
      <c r="D150" s="3" t="s">
        <v>168</v>
      </c>
      <c r="E150" s="3" t="n">
        <v>156</v>
      </c>
      <c r="F150" s="3" t="n">
        <v>19</v>
      </c>
      <c r="G150" s="4" t="n">
        <v>28</v>
      </c>
      <c r="H150" s="4" t="n">
        <v>42</v>
      </c>
      <c r="I150" s="5" t="n">
        <v>4368</v>
      </c>
      <c r="J150" s="5" t="n">
        <v>798</v>
      </c>
      <c r="K150" s="5" t="n">
        <v>5166</v>
      </c>
      <c r="L150" s="3" t="s">
        <v>17</v>
      </c>
    </row>
    <row r="151" customFormat="false" ht="15" hidden="false" customHeight="false" outlineLevel="0" collapsed="false">
      <c r="A151" s="6" t="s">
        <v>180</v>
      </c>
      <c r="B151" s="6" t="s">
        <v>36</v>
      </c>
      <c r="C151" s="6" t="s">
        <v>15</v>
      </c>
      <c r="D151" s="6" t="s">
        <v>168</v>
      </c>
      <c r="E151" s="6" t="n">
        <v>140</v>
      </c>
      <c r="F151" s="6" t="n">
        <v>30</v>
      </c>
      <c r="G151" s="7" t="n">
        <v>18</v>
      </c>
      <c r="H151" s="7" t="n">
        <v>27</v>
      </c>
      <c r="I151" s="8" t="n">
        <v>2520</v>
      </c>
      <c r="J151" s="8" t="n">
        <v>810</v>
      </c>
      <c r="K151" s="8" t="n">
        <v>3330</v>
      </c>
      <c r="L151" s="6" t="s">
        <v>17</v>
      </c>
    </row>
    <row r="152" customFormat="false" ht="15" hidden="false" customHeight="false" outlineLevel="0" collapsed="false">
      <c r="A152" s="3" t="s">
        <v>181</v>
      </c>
      <c r="B152" s="3" t="s">
        <v>36</v>
      </c>
      <c r="C152" s="3" t="s">
        <v>19</v>
      </c>
      <c r="D152" s="3" t="s">
        <v>168</v>
      </c>
      <c r="E152" s="3" t="n">
        <v>146</v>
      </c>
      <c r="F152" s="3" t="n">
        <v>13</v>
      </c>
      <c r="G152" s="4" t="n">
        <v>32</v>
      </c>
      <c r="H152" s="4" t="n">
        <v>48</v>
      </c>
      <c r="I152" s="5" t="n">
        <v>4672</v>
      </c>
      <c r="J152" s="5" t="n">
        <v>624</v>
      </c>
      <c r="K152" s="5" t="n">
        <v>5296</v>
      </c>
      <c r="L152" s="3" t="s">
        <v>17</v>
      </c>
    </row>
    <row r="153" customFormat="false" ht="15" hidden="false" customHeight="false" outlineLevel="0" collapsed="false">
      <c r="A153" s="6" t="s">
        <v>182</v>
      </c>
      <c r="B153" s="6" t="s">
        <v>36</v>
      </c>
      <c r="C153" s="6" t="s">
        <v>21</v>
      </c>
      <c r="D153" s="6" t="s">
        <v>168</v>
      </c>
      <c r="E153" s="6" t="n">
        <v>173</v>
      </c>
      <c r="F153" s="6" t="n">
        <v>18</v>
      </c>
      <c r="G153" s="7" t="n">
        <v>25</v>
      </c>
      <c r="H153" s="7" t="n">
        <v>37.5</v>
      </c>
      <c r="I153" s="8" t="n">
        <v>4325</v>
      </c>
      <c r="J153" s="8" t="n">
        <v>675</v>
      </c>
      <c r="K153" s="8" t="n">
        <v>5000</v>
      </c>
      <c r="L153" s="6" t="s">
        <v>17</v>
      </c>
    </row>
    <row r="154" customFormat="false" ht="15" hidden="false" customHeight="false" outlineLevel="0" collapsed="false">
      <c r="A154" s="3" t="s">
        <v>183</v>
      </c>
      <c r="B154" s="3" t="s">
        <v>14</v>
      </c>
      <c r="C154" s="3" t="s">
        <v>15</v>
      </c>
      <c r="D154" s="3" t="s">
        <v>184</v>
      </c>
      <c r="E154" s="3" t="n">
        <v>147</v>
      </c>
      <c r="F154" s="3" t="n">
        <v>12</v>
      </c>
      <c r="G154" s="4" t="n">
        <v>22</v>
      </c>
      <c r="H154" s="4" t="n">
        <v>33</v>
      </c>
      <c r="I154" s="5" t="n">
        <v>3234</v>
      </c>
      <c r="J154" s="5" t="n">
        <v>396</v>
      </c>
      <c r="K154" s="5" t="n">
        <v>3630</v>
      </c>
      <c r="L154" s="3" t="s">
        <v>30</v>
      </c>
    </row>
    <row r="155" customFormat="false" ht="15" hidden="false" customHeight="false" outlineLevel="0" collapsed="false">
      <c r="A155" s="6" t="s">
        <v>185</v>
      </c>
      <c r="B155" s="6" t="s">
        <v>14</v>
      </c>
      <c r="C155" s="6" t="s">
        <v>19</v>
      </c>
      <c r="D155" s="6" t="s">
        <v>184</v>
      </c>
      <c r="E155" s="6" t="n">
        <v>170</v>
      </c>
      <c r="F155" s="6" t="n">
        <v>1</v>
      </c>
      <c r="G155" s="7" t="n">
        <v>22</v>
      </c>
      <c r="H155" s="7" t="n">
        <v>33</v>
      </c>
      <c r="I155" s="8" t="n">
        <v>3740</v>
      </c>
      <c r="J155" s="8" t="n">
        <v>33</v>
      </c>
      <c r="K155" s="8" t="n">
        <v>3773</v>
      </c>
      <c r="L155" s="6" t="s">
        <v>17</v>
      </c>
    </row>
    <row r="156" customFormat="false" ht="15" hidden="false" customHeight="false" outlineLevel="0" collapsed="false">
      <c r="A156" s="3" t="s">
        <v>186</v>
      </c>
      <c r="B156" s="3" t="s">
        <v>14</v>
      </c>
      <c r="C156" s="3" t="s">
        <v>21</v>
      </c>
      <c r="D156" s="3" t="s">
        <v>184</v>
      </c>
      <c r="E156" s="3" t="n">
        <v>172</v>
      </c>
      <c r="F156" s="3" t="n">
        <v>28</v>
      </c>
      <c r="G156" s="4" t="n">
        <v>22</v>
      </c>
      <c r="H156" s="4" t="n">
        <v>33</v>
      </c>
      <c r="I156" s="5" t="n">
        <v>3784</v>
      </c>
      <c r="J156" s="5" t="n">
        <v>924</v>
      </c>
      <c r="K156" s="5" t="n">
        <v>4708</v>
      </c>
      <c r="L156" s="3" t="s">
        <v>17</v>
      </c>
    </row>
    <row r="157" customFormat="false" ht="15" hidden="false" customHeight="false" outlineLevel="0" collapsed="false">
      <c r="A157" s="6" t="s">
        <v>187</v>
      </c>
      <c r="B157" s="6" t="s">
        <v>23</v>
      </c>
      <c r="C157" s="6" t="s">
        <v>15</v>
      </c>
      <c r="D157" s="6" t="s">
        <v>184</v>
      </c>
      <c r="E157" s="6" t="n">
        <v>153</v>
      </c>
      <c r="F157" s="6" t="n">
        <v>4</v>
      </c>
      <c r="G157" s="7" t="n">
        <v>28</v>
      </c>
      <c r="H157" s="7" t="n">
        <v>42</v>
      </c>
      <c r="I157" s="8" t="n">
        <v>4284</v>
      </c>
      <c r="J157" s="8" t="n">
        <v>168</v>
      </c>
      <c r="K157" s="8" t="n">
        <v>4452</v>
      </c>
      <c r="L157" s="6" t="s">
        <v>17</v>
      </c>
    </row>
    <row r="158" customFormat="false" ht="15" hidden="false" customHeight="false" outlineLevel="0" collapsed="false">
      <c r="A158" s="3" t="s">
        <v>188</v>
      </c>
      <c r="B158" s="3" t="s">
        <v>23</v>
      </c>
      <c r="C158" s="3" t="s">
        <v>19</v>
      </c>
      <c r="D158" s="3" t="s">
        <v>184</v>
      </c>
      <c r="E158" s="3" t="n">
        <v>173</v>
      </c>
      <c r="F158" s="3" t="n">
        <v>16</v>
      </c>
      <c r="G158" s="4" t="n">
        <v>22</v>
      </c>
      <c r="H158" s="4" t="n">
        <v>33</v>
      </c>
      <c r="I158" s="5" t="n">
        <v>3806</v>
      </c>
      <c r="J158" s="5" t="n">
        <v>528</v>
      </c>
      <c r="K158" s="5" t="n">
        <v>4334</v>
      </c>
      <c r="L158" s="3" t="s">
        <v>17</v>
      </c>
    </row>
    <row r="159" customFormat="false" ht="15" hidden="false" customHeight="false" outlineLevel="0" collapsed="false">
      <c r="A159" s="6" t="s">
        <v>189</v>
      </c>
      <c r="B159" s="6" t="s">
        <v>23</v>
      </c>
      <c r="C159" s="6" t="s">
        <v>21</v>
      </c>
      <c r="D159" s="6" t="s">
        <v>184</v>
      </c>
      <c r="E159" s="6" t="n">
        <v>172</v>
      </c>
      <c r="F159" s="6" t="n">
        <v>17</v>
      </c>
      <c r="G159" s="7" t="n">
        <v>18</v>
      </c>
      <c r="H159" s="7" t="n">
        <v>27</v>
      </c>
      <c r="I159" s="8" t="n">
        <v>3096</v>
      </c>
      <c r="J159" s="8" t="n">
        <v>459</v>
      </c>
      <c r="K159" s="8" t="n">
        <v>3555</v>
      </c>
      <c r="L159" s="6" t="s">
        <v>17</v>
      </c>
    </row>
    <row r="160" customFormat="false" ht="15" hidden="false" customHeight="false" outlineLevel="0" collapsed="false">
      <c r="A160" s="3" t="s">
        <v>190</v>
      </c>
      <c r="B160" s="3" t="s">
        <v>27</v>
      </c>
      <c r="C160" s="3" t="s">
        <v>15</v>
      </c>
      <c r="D160" s="3" t="s">
        <v>184</v>
      </c>
      <c r="E160" s="3" t="n">
        <v>154</v>
      </c>
      <c r="F160" s="3" t="n">
        <v>31</v>
      </c>
      <c r="G160" s="4" t="n">
        <v>25</v>
      </c>
      <c r="H160" s="4" t="n">
        <v>37.5</v>
      </c>
      <c r="I160" s="5" t="n">
        <v>3850</v>
      </c>
      <c r="J160" s="5" t="n">
        <v>1162.5</v>
      </c>
      <c r="K160" s="5" t="n">
        <v>5012.5</v>
      </c>
      <c r="L160" s="3" t="s">
        <v>17</v>
      </c>
    </row>
    <row r="161" customFormat="false" ht="15" hidden="false" customHeight="false" outlineLevel="0" collapsed="false">
      <c r="A161" s="6" t="s">
        <v>191</v>
      </c>
      <c r="B161" s="6" t="s">
        <v>27</v>
      </c>
      <c r="C161" s="6" t="s">
        <v>19</v>
      </c>
      <c r="D161" s="6" t="s">
        <v>184</v>
      </c>
      <c r="E161" s="6" t="n">
        <v>150</v>
      </c>
      <c r="F161" s="6" t="n">
        <v>0</v>
      </c>
      <c r="G161" s="7" t="n">
        <v>25</v>
      </c>
      <c r="H161" s="7" t="n">
        <v>37.5</v>
      </c>
      <c r="I161" s="8" t="n">
        <v>3750</v>
      </c>
      <c r="J161" s="8" t="n">
        <v>0</v>
      </c>
      <c r="K161" s="8" t="n">
        <v>3750</v>
      </c>
      <c r="L161" s="6" t="s">
        <v>17</v>
      </c>
    </row>
    <row r="162" customFormat="false" ht="15" hidden="false" customHeight="false" outlineLevel="0" collapsed="false">
      <c r="A162" s="3" t="s">
        <v>192</v>
      </c>
      <c r="B162" s="3" t="s">
        <v>27</v>
      </c>
      <c r="C162" s="3" t="s">
        <v>21</v>
      </c>
      <c r="D162" s="3" t="s">
        <v>184</v>
      </c>
      <c r="E162" s="3" t="n">
        <v>165</v>
      </c>
      <c r="F162" s="3" t="n">
        <v>19</v>
      </c>
      <c r="G162" s="4" t="n">
        <v>32</v>
      </c>
      <c r="H162" s="4" t="n">
        <v>48</v>
      </c>
      <c r="I162" s="5" t="n">
        <v>5280</v>
      </c>
      <c r="J162" s="5" t="n">
        <v>912</v>
      </c>
      <c r="K162" s="5" t="n">
        <v>6192</v>
      </c>
      <c r="L162" s="3" t="s">
        <v>17</v>
      </c>
    </row>
    <row r="163" customFormat="false" ht="15" hidden="false" customHeight="false" outlineLevel="0" collapsed="false">
      <c r="A163" s="6" t="s">
        <v>193</v>
      </c>
      <c r="B163" s="6" t="s">
        <v>32</v>
      </c>
      <c r="C163" s="6" t="s">
        <v>15</v>
      </c>
      <c r="D163" s="6" t="s">
        <v>184</v>
      </c>
      <c r="E163" s="6" t="n">
        <v>162</v>
      </c>
      <c r="F163" s="6" t="n">
        <v>24</v>
      </c>
      <c r="G163" s="7" t="n">
        <v>22</v>
      </c>
      <c r="H163" s="7" t="n">
        <v>33</v>
      </c>
      <c r="I163" s="8" t="n">
        <v>3564</v>
      </c>
      <c r="J163" s="8" t="n">
        <v>792</v>
      </c>
      <c r="K163" s="8" t="n">
        <v>4356</v>
      </c>
      <c r="L163" s="6" t="s">
        <v>17</v>
      </c>
    </row>
    <row r="164" customFormat="false" ht="15" hidden="false" customHeight="false" outlineLevel="0" collapsed="false">
      <c r="A164" s="3" t="s">
        <v>194</v>
      </c>
      <c r="B164" s="3" t="s">
        <v>32</v>
      </c>
      <c r="C164" s="3" t="s">
        <v>19</v>
      </c>
      <c r="D164" s="3" t="s">
        <v>184</v>
      </c>
      <c r="E164" s="3" t="n">
        <v>161</v>
      </c>
      <c r="F164" s="3" t="n">
        <v>0</v>
      </c>
      <c r="G164" s="4" t="n">
        <v>22</v>
      </c>
      <c r="H164" s="4" t="n">
        <v>33</v>
      </c>
      <c r="I164" s="5" t="n">
        <v>3542</v>
      </c>
      <c r="J164" s="5" t="n">
        <v>0</v>
      </c>
      <c r="K164" s="5" t="n">
        <v>3542</v>
      </c>
      <c r="L164" s="3" t="s">
        <v>17</v>
      </c>
    </row>
    <row r="165" customFormat="false" ht="15" hidden="false" customHeight="false" outlineLevel="0" collapsed="false">
      <c r="A165" s="6" t="s">
        <v>195</v>
      </c>
      <c r="B165" s="6" t="s">
        <v>32</v>
      </c>
      <c r="C165" s="6" t="s">
        <v>21</v>
      </c>
      <c r="D165" s="6" t="s">
        <v>184</v>
      </c>
      <c r="E165" s="6" t="n">
        <v>165</v>
      </c>
      <c r="F165" s="6" t="n">
        <v>7</v>
      </c>
      <c r="G165" s="7" t="n">
        <v>20</v>
      </c>
      <c r="H165" s="7" t="n">
        <v>30</v>
      </c>
      <c r="I165" s="8" t="n">
        <v>3300</v>
      </c>
      <c r="J165" s="8" t="n">
        <v>210</v>
      </c>
      <c r="K165" s="8" t="n">
        <v>3510</v>
      </c>
      <c r="L165" s="6" t="s">
        <v>17</v>
      </c>
    </row>
    <row r="166" customFormat="false" ht="15" hidden="false" customHeight="false" outlineLevel="0" collapsed="false">
      <c r="A166" s="3" t="s">
        <v>196</v>
      </c>
      <c r="B166" s="3" t="s">
        <v>36</v>
      </c>
      <c r="C166" s="3" t="s">
        <v>15</v>
      </c>
      <c r="D166" s="3" t="s">
        <v>184</v>
      </c>
      <c r="E166" s="3" t="n">
        <v>158</v>
      </c>
      <c r="F166" s="3" t="n">
        <v>16</v>
      </c>
      <c r="G166" s="4" t="n">
        <v>22</v>
      </c>
      <c r="H166" s="4" t="n">
        <v>33</v>
      </c>
      <c r="I166" s="5" t="n">
        <v>3476</v>
      </c>
      <c r="J166" s="5" t="n">
        <v>528</v>
      </c>
      <c r="K166" s="5" t="n">
        <v>4004</v>
      </c>
      <c r="L166" s="3" t="s">
        <v>17</v>
      </c>
    </row>
    <row r="167" customFormat="false" ht="15" hidden="false" customHeight="false" outlineLevel="0" collapsed="false">
      <c r="A167" s="6" t="s">
        <v>197</v>
      </c>
      <c r="B167" s="6" t="s">
        <v>36</v>
      </c>
      <c r="C167" s="6" t="s">
        <v>19</v>
      </c>
      <c r="D167" s="6" t="s">
        <v>184</v>
      </c>
      <c r="E167" s="6" t="n">
        <v>164</v>
      </c>
      <c r="F167" s="6" t="n">
        <v>4</v>
      </c>
      <c r="G167" s="7" t="n">
        <v>22</v>
      </c>
      <c r="H167" s="7" t="n">
        <v>33</v>
      </c>
      <c r="I167" s="8" t="n">
        <v>3608</v>
      </c>
      <c r="J167" s="8" t="n">
        <v>132</v>
      </c>
      <c r="K167" s="8" t="n">
        <v>3740</v>
      </c>
      <c r="L167" s="6" t="s">
        <v>30</v>
      </c>
    </row>
    <row r="168" customFormat="false" ht="15" hidden="false" customHeight="false" outlineLevel="0" collapsed="false">
      <c r="A168" s="3" t="s">
        <v>198</v>
      </c>
      <c r="B168" s="3" t="s">
        <v>36</v>
      </c>
      <c r="C168" s="3" t="s">
        <v>21</v>
      </c>
      <c r="D168" s="3" t="s">
        <v>184</v>
      </c>
      <c r="E168" s="3" t="n">
        <v>157</v>
      </c>
      <c r="F168" s="3" t="n">
        <v>3</v>
      </c>
      <c r="G168" s="4" t="n">
        <v>22</v>
      </c>
      <c r="H168" s="4" t="n">
        <v>33</v>
      </c>
      <c r="I168" s="5" t="n">
        <v>3454</v>
      </c>
      <c r="J168" s="5" t="n">
        <v>99</v>
      </c>
      <c r="K168" s="5" t="n">
        <v>3553</v>
      </c>
      <c r="L168" s="3" t="s">
        <v>17</v>
      </c>
    </row>
    <row r="169" customFormat="false" ht="15" hidden="false" customHeight="false" outlineLevel="0" collapsed="false">
      <c r="A169" s="6" t="s">
        <v>199</v>
      </c>
      <c r="B169" s="6" t="s">
        <v>14</v>
      </c>
      <c r="C169" s="6" t="s">
        <v>15</v>
      </c>
      <c r="D169" s="6" t="s">
        <v>200</v>
      </c>
      <c r="E169" s="6" t="n">
        <v>158</v>
      </c>
      <c r="F169" s="6" t="n">
        <v>9</v>
      </c>
      <c r="G169" s="7" t="n">
        <v>20</v>
      </c>
      <c r="H169" s="7" t="n">
        <v>30</v>
      </c>
      <c r="I169" s="8" t="n">
        <v>3160</v>
      </c>
      <c r="J169" s="8" t="n">
        <v>270</v>
      </c>
      <c r="K169" s="8" t="n">
        <v>3430</v>
      </c>
      <c r="L169" s="6" t="s">
        <v>30</v>
      </c>
    </row>
    <row r="170" customFormat="false" ht="15" hidden="false" customHeight="false" outlineLevel="0" collapsed="false">
      <c r="A170" s="3" t="s">
        <v>201</v>
      </c>
      <c r="B170" s="3" t="s">
        <v>14</v>
      </c>
      <c r="C170" s="3" t="s">
        <v>19</v>
      </c>
      <c r="D170" s="3" t="s">
        <v>200</v>
      </c>
      <c r="E170" s="3" t="n">
        <v>167</v>
      </c>
      <c r="F170" s="3" t="n">
        <v>32</v>
      </c>
      <c r="G170" s="4" t="n">
        <v>22</v>
      </c>
      <c r="H170" s="4" t="n">
        <v>33</v>
      </c>
      <c r="I170" s="5" t="n">
        <v>3674</v>
      </c>
      <c r="J170" s="5" t="n">
        <v>1056</v>
      </c>
      <c r="K170" s="5" t="n">
        <v>4730</v>
      </c>
      <c r="L170" s="3" t="s">
        <v>17</v>
      </c>
    </row>
    <row r="171" customFormat="false" ht="15" hidden="false" customHeight="false" outlineLevel="0" collapsed="false">
      <c r="A171" s="6" t="s">
        <v>202</v>
      </c>
      <c r="B171" s="6" t="s">
        <v>14</v>
      </c>
      <c r="C171" s="6" t="s">
        <v>21</v>
      </c>
      <c r="D171" s="6" t="s">
        <v>200</v>
      </c>
      <c r="E171" s="6" t="n">
        <v>163</v>
      </c>
      <c r="F171" s="6" t="n">
        <v>27</v>
      </c>
      <c r="G171" s="7" t="n">
        <v>18</v>
      </c>
      <c r="H171" s="7" t="n">
        <v>27</v>
      </c>
      <c r="I171" s="8" t="n">
        <v>2934</v>
      </c>
      <c r="J171" s="8" t="n">
        <v>729</v>
      </c>
      <c r="K171" s="8" t="n">
        <v>3663</v>
      </c>
      <c r="L171" s="6" t="s">
        <v>30</v>
      </c>
    </row>
    <row r="172" customFormat="false" ht="15" hidden="false" customHeight="false" outlineLevel="0" collapsed="false">
      <c r="A172" s="3" t="s">
        <v>203</v>
      </c>
      <c r="B172" s="3" t="s">
        <v>23</v>
      </c>
      <c r="C172" s="3" t="s">
        <v>15</v>
      </c>
      <c r="D172" s="3" t="s">
        <v>200</v>
      </c>
      <c r="E172" s="3" t="n">
        <v>165</v>
      </c>
      <c r="F172" s="3" t="n">
        <v>13</v>
      </c>
      <c r="G172" s="4" t="n">
        <v>32</v>
      </c>
      <c r="H172" s="4" t="n">
        <v>48</v>
      </c>
      <c r="I172" s="5" t="n">
        <v>5280</v>
      </c>
      <c r="J172" s="5" t="n">
        <v>624</v>
      </c>
      <c r="K172" s="5" t="n">
        <v>5904</v>
      </c>
      <c r="L172" s="3" t="s">
        <v>17</v>
      </c>
    </row>
    <row r="173" customFormat="false" ht="15" hidden="false" customHeight="false" outlineLevel="0" collapsed="false">
      <c r="A173" s="6" t="s">
        <v>204</v>
      </c>
      <c r="B173" s="6" t="s">
        <v>23</v>
      </c>
      <c r="C173" s="6" t="s">
        <v>19</v>
      </c>
      <c r="D173" s="6" t="s">
        <v>200</v>
      </c>
      <c r="E173" s="6" t="n">
        <v>166</v>
      </c>
      <c r="F173" s="6" t="n">
        <v>28</v>
      </c>
      <c r="G173" s="7" t="n">
        <v>28</v>
      </c>
      <c r="H173" s="7" t="n">
        <v>42</v>
      </c>
      <c r="I173" s="8" t="n">
        <v>4648</v>
      </c>
      <c r="J173" s="8" t="n">
        <v>1176</v>
      </c>
      <c r="K173" s="8" t="n">
        <v>5824</v>
      </c>
      <c r="L173" s="6" t="s">
        <v>17</v>
      </c>
    </row>
    <row r="174" customFormat="false" ht="15" hidden="false" customHeight="false" outlineLevel="0" collapsed="false">
      <c r="A174" s="3" t="s">
        <v>205</v>
      </c>
      <c r="B174" s="3" t="s">
        <v>23</v>
      </c>
      <c r="C174" s="3" t="s">
        <v>21</v>
      </c>
      <c r="D174" s="3" t="s">
        <v>200</v>
      </c>
      <c r="E174" s="3" t="n">
        <v>158</v>
      </c>
      <c r="F174" s="3" t="n">
        <v>31</v>
      </c>
      <c r="G174" s="4" t="n">
        <v>18</v>
      </c>
      <c r="H174" s="4" t="n">
        <v>27</v>
      </c>
      <c r="I174" s="5" t="n">
        <v>2844</v>
      </c>
      <c r="J174" s="5" t="n">
        <v>837</v>
      </c>
      <c r="K174" s="5" t="n">
        <v>3681</v>
      </c>
      <c r="L174" s="3" t="s">
        <v>30</v>
      </c>
    </row>
    <row r="175" customFormat="false" ht="15" hidden="false" customHeight="false" outlineLevel="0" collapsed="false">
      <c r="A175" s="6" t="s">
        <v>206</v>
      </c>
      <c r="B175" s="6" t="s">
        <v>27</v>
      </c>
      <c r="C175" s="6" t="s">
        <v>15</v>
      </c>
      <c r="D175" s="6" t="s">
        <v>200</v>
      </c>
      <c r="E175" s="6" t="n">
        <v>175</v>
      </c>
      <c r="F175" s="6" t="n">
        <v>8</v>
      </c>
      <c r="G175" s="7" t="n">
        <v>20</v>
      </c>
      <c r="H175" s="7" t="n">
        <v>30</v>
      </c>
      <c r="I175" s="8" t="n">
        <v>3500</v>
      </c>
      <c r="J175" s="8" t="n">
        <v>240</v>
      </c>
      <c r="K175" s="8" t="n">
        <v>3740</v>
      </c>
      <c r="L175" s="6" t="s">
        <v>17</v>
      </c>
    </row>
    <row r="176" customFormat="false" ht="15" hidden="false" customHeight="false" outlineLevel="0" collapsed="false">
      <c r="A176" s="3" t="s">
        <v>207</v>
      </c>
      <c r="B176" s="3" t="s">
        <v>27</v>
      </c>
      <c r="C176" s="3" t="s">
        <v>19</v>
      </c>
      <c r="D176" s="3" t="s">
        <v>200</v>
      </c>
      <c r="E176" s="3" t="n">
        <v>161</v>
      </c>
      <c r="F176" s="3" t="n">
        <v>18</v>
      </c>
      <c r="G176" s="4" t="n">
        <v>22</v>
      </c>
      <c r="H176" s="4" t="n">
        <v>33</v>
      </c>
      <c r="I176" s="5" t="n">
        <v>3542</v>
      </c>
      <c r="J176" s="5" t="n">
        <v>594</v>
      </c>
      <c r="K176" s="5" t="n">
        <v>4136</v>
      </c>
      <c r="L176" s="3" t="s">
        <v>17</v>
      </c>
    </row>
    <row r="177" customFormat="false" ht="15" hidden="false" customHeight="false" outlineLevel="0" collapsed="false">
      <c r="A177" s="6" t="s">
        <v>208</v>
      </c>
      <c r="B177" s="6" t="s">
        <v>27</v>
      </c>
      <c r="C177" s="6" t="s">
        <v>21</v>
      </c>
      <c r="D177" s="6" t="s">
        <v>200</v>
      </c>
      <c r="E177" s="6" t="n">
        <v>156</v>
      </c>
      <c r="F177" s="6" t="n">
        <v>25</v>
      </c>
      <c r="G177" s="7" t="n">
        <v>32</v>
      </c>
      <c r="H177" s="7" t="n">
        <v>48</v>
      </c>
      <c r="I177" s="8" t="n">
        <v>4992</v>
      </c>
      <c r="J177" s="8" t="n">
        <v>1200</v>
      </c>
      <c r="K177" s="8" t="n">
        <v>6192</v>
      </c>
      <c r="L177" s="6" t="s">
        <v>17</v>
      </c>
    </row>
    <row r="178" customFormat="false" ht="15" hidden="false" customHeight="false" outlineLevel="0" collapsed="false">
      <c r="A178" s="3" t="s">
        <v>209</v>
      </c>
      <c r="B178" s="3" t="s">
        <v>32</v>
      </c>
      <c r="C178" s="3" t="s">
        <v>15</v>
      </c>
      <c r="D178" s="3" t="s">
        <v>200</v>
      </c>
      <c r="E178" s="3" t="n">
        <v>170</v>
      </c>
      <c r="F178" s="3" t="n">
        <v>25</v>
      </c>
      <c r="G178" s="4" t="n">
        <v>18</v>
      </c>
      <c r="H178" s="4" t="n">
        <v>27</v>
      </c>
      <c r="I178" s="5" t="n">
        <v>3060</v>
      </c>
      <c r="J178" s="5" t="n">
        <v>675</v>
      </c>
      <c r="K178" s="5" t="n">
        <v>3735</v>
      </c>
      <c r="L178" s="3" t="s">
        <v>17</v>
      </c>
    </row>
    <row r="179" customFormat="false" ht="15" hidden="false" customHeight="false" outlineLevel="0" collapsed="false">
      <c r="A179" s="6" t="s">
        <v>210</v>
      </c>
      <c r="B179" s="6" t="s">
        <v>32</v>
      </c>
      <c r="C179" s="6" t="s">
        <v>19</v>
      </c>
      <c r="D179" s="6" t="s">
        <v>200</v>
      </c>
      <c r="E179" s="6" t="n">
        <v>150</v>
      </c>
      <c r="F179" s="6" t="n">
        <v>4</v>
      </c>
      <c r="G179" s="7" t="n">
        <v>20</v>
      </c>
      <c r="H179" s="7" t="n">
        <v>30</v>
      </c>
      <c r="I179" s="8" t="n">
        <v>3000</v>
      </c>
      <c r="J179" s="8" t="n">
        <v>120</v>
      </c>
      <c r="K179" s="8" t="n">
        <v>3120</v>
      </c>
      <c r="L179" s="6" t="s">
        <v>17</v>
      </c>
    </row>
    <row r="180" customFormat="false" ht="15" hidden="false" customHeight="false" outlineLevel="0" collapsed="false">
      <c r="A180" s="3" t="s">
        <v>211</v>
      </c>
      <c r="B180" s="3" t="s">
        <v>32</v>
      </c>
      <c r="C180" s="3" t="s">
        <v>21</v>
      </c>
      <c r="D180" s="3" t="s">
        <v>200</v>
      </c>
      <c r="E180" s="3" t="n">
        <v>171</v>
      </c>
      <c r="F180" s="3" t="n">
        <v>14</v>
      </c>
      <c r="G180" s="4" t="n">
        <v>25</v>
      </c>
      <c r="H180" s="4" t="n">
        <v>37.5</v>
      </c>
      <c r="I180" s="5" t="n">
        <v>4275</v>
      </c>
      <c r="J180" s="5" t="n">
        <v>525</v>
      </c>
      <c r="K180" s="5" t="n">
        <v>4800</v>
      </c>
      <c r="L180" s="3" t="s">
        <v>30</v>
      </c>
    </row>
    <row r="181" customFormat="false" ht="15" hidden="false" customHeight="false" outlineLevel="0" collapsed="false">
      <c r="A181" s="6" t="s">
        <v>212</v>
      </c>
      <c r="B181" s="6" t="s">
        <v>36</v>
      </c>
      <c r="C181" s="6" t="s">
        <v>15</v>
      </c>
      <c r="D181" s="6" t="s">
        <v>200</v>
      </c>
      <c r="E181" s="6" t="n">
        <v>168</v>
      </c>
      <c r="F181" s="6" t="n">
        <v>27</v>
      </c>
      <c r="G181" s="7" t="n">
        <v>20</v>
      </c>
      <c r="H181" s="7" t="n">
        <v>30</v>
      </c>
      <c r="I181" s="8" t="n">
        <v>3360</v>
      </c>
      <c r="J181" s="8" t="n">
        <v>810</v>
      </c>
      <c r="K181" s="8" t="n">
        <v>4170</v>
      </c>
      <c r="L181" s="6" t="s">
        <v>17</v>
      </c>
    </row>
    <row r="182" customFormat="false" ht="15" hidden="false" customHeight="false" outlineLevel="0" collapsed="false">
      <c r="A182" s="3" t="s">
        <v>213</v>
      </c>
      <c r="B182" s="3" t="s">
        <v>36</v>
      </c>
      <c r="C182" s="3" t="s">
        <v>19</v>
      </c>
      <c r="D182" s="3" t="s">
        <v>200</v>
      </c>
      <c r="E182" s="3" t="n">
        <v>155</v>
      </c>
      <c r="F182" s="3" t="n">
        <v>5</v>
      </c>
      <c r="G182" s="4" t="n">
        <v>20</v>
      </c>
      <c r="H182" s="4" t="n">
        <v>30</v>
      </c>
      <c r="I182" s="5" t="n">
        <v>3100</v>
      </c>
      <c r="J182" s="5" t="n">
        <v>150</v>
      </c>
      <c r="K182" s="5" t="n">
        <v>3250</v>
      </c>
      <c r="L182" s="3" t="s">
        <v>17</v>
      </c>
    </row>
    <row r="183" customFormat="false" ht="15" hidden="false" customHeight="false" outlineLevel="0" collapsed="false">
      <c r="A183" s="6" t="s">
        <v>214</v>
      </c>
      <c r="B183" s="6" t="s">
        <v>36</v>
      </c>
      <c r="C183" s="6" t="s">
        <v>21</v>
      </c>
      <c r="D183" s="6" t="s">
        <v>200</v>
      </c>
      <c r="E183" s="6" t="n">
        <v>145</v>
      </c>
      <c r="F183" s="6" t="n">
        <v>20</v>
      </c>
      <c r="G183" s="7" t="n">
        <v>20</v>
      </c>
      <c r="H183" s="7" t="n">
        <v>30</v>
      </c>
      <c r="I183" s="8" t="n">
        <v>2900</v>
      </c>
      <c r="J183" s="8" t="n">
        <v>600</v>
      </c>
      <c r="K183" s="8" t="n">
        <v>3500</v>
      </c>
      <c r="L183" s="6" t="s">
        <v>17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6"/>
    <col collapsed="false" customWidth="true" hidden="false" outlineLevel="0" max="3" min="3" style="0" width="38"/>
    <col collapsed="false" customWidth="true" hidden="false" outlineLevel="0" max="5" min="4" style="0" width="5"/>
  </cols>
  <sheetData>
    <row r="1" customFormat="false" ht="31.5" hidden="false" customHeight="true" outlineLevel="0" collapsed="false">
      <c r="A1" s="9" t="s">
        <v>215</v>
      </c>
      <c r="B1" s="9"/>
      <c r="C1" s="9"/>
      <c r="D1" s="9"/>
      <c r="E1" s="9"/>
      <c r="F1" s="9"/>
      <c r="G1" s="9"/>
      <c r="H1" s="9"/>
    </row>
    <row r="3" customFormat="false" ht="15" hidden="false" customHeight="true" outlineLevel="0" collapsed="false">
      <c r="A3" s="10" t="s">
        <v>216</v>
      </c>
      <c r="B3" s="10" t="s">
        <v>217</v>
      </c>
      <c r="C3" s="11" t="s">
        <v>218</v>
      </c>
      <c r="D3" s="11"/>
      <c r="E3" s="11"/>
    </row>
    <row r="4" customFormat="false" ht="21.75" hidden="false" customHeight="true" outlineLevel="0" collapsed="false">
      <c r="A4" s="12" t="s">
        <v>219</v>
      </c>
      <c r="B4" s="13" t="n">
        <f aca="false">SUMIF(Payroll_Raw_Data!D4:D543,"Dec-24",Payroll_Raw_Data!K4:K543)*12</f>
        <v>766500</v>
      </c>
      <c r="C4" s="14" t="s">
        <v>220</v>
      </c>
      <c r="D4" s="14"/>
      <c r="E4" s="14"/>
    </row>
    <row r="5" customFormat="false" ht="21.75" hidden="false" customHeight="true" outlineLevel="0" collapsed="false">
      <c r="A5" s="15" t="s">
        <v>221</v>
      </c>
      <c r="B5" s="16" t="n">
        <f aca="false">SUMPRODUCT(Payroll_Raw_Data!F4:F543,Payroll_Raw_Data!H4:H543)</f>
        <v>102694.5</v>
      </c>
      <c r="C5" s="17" t="s">
        <v>222</v>
      </c>
      <c r="D5" s="17"/>
      <c r="E5" s="17"/>
    </row>
    <row r="6" customFormat="false" ht="21.75" hidden="false" customHeight="true" outlineLevel="0" collapsed="false">
      <c r="A6" s="12" t="s">
        <v>223</v>
      </c>
      <c r="B6" s="18" t="n">
        <f aca="false">SUMPRODUCT(Payroll_Raw_Data!F4:F543,Payroll_Raw_Data!H4:H543)/SUMPRODUCT(Payroll_Raw_Data!E4:E543,Payroll_Raw_Data!G4:G543)</f>
        <v>0.149902346600961</v>
      </c>
      <c r="C6" s="14" t="s">
        <v>224</v>
      </c>
      <c r="D6" s="14"/>
      <c r="E6" s="14"/>
    </row>
    <row r="7" customFormat="false" ht="21.75" hidden="false" customHeight="true" outlineLevel="0" collapsed="false">
      <c r="A7" s="15" t="s">
        <v>225</v>
      </c>
      <c r="B7" s="19" t="n">
        <f aca="false">AVERAGE(Payroll_Raw_Data!F4:F543)</f>
        <v>16.0388888888889</v>
      </c>
      <c r="C7" s="17" t="s">
        <v>226</v>
      </c>
      <c r="D7" s="17"/>
      <c r="E7" s="17"/>
    </row>
    <row r="8" customFormat="false" ht="21.75" hidden="false" customHeight="true" outlineLevel="0" collapsed="false">
      <c r="A8" s="12" t="s">
        <v>227</v>
      </c>
      <c r="B8" s="20" t="n">
        <f aca="false">COUNTIF(Payroll_Raw_Data!L4:L543,"Met")/540</f>
        <v>0.257407407407407</v>
      </c>
      <c r="C8" s="14" t="s">
        <v>228</v>
      </c>
      <c r="D8" s="14"/>
      <c r="E8" s="14"/>
    </row>
    <row r="9" customFormat="false" ht="21.75" hidden="false" customHeight="true" outlineLevel="0" collapsed="false">
      <c r="A9" s="15" t="s">
        <v>229</v>
      </c>
      <c r="B9" s="21" t="n">
        <f aca="false">SUMPRODUCT(Payroll_Raw_Data!F4:F543,Payroll_Raw_Data!H4:H543)*0.15</f>
        <v>15404.175</v>
      </c>
      <c r="C9" s="17" t="s">
        <v>230</v>
      </c>
      <c r="D9" s="17"/>
      <c r="E9" s="17"/>
    </row>
    <row r="10" customFormat="false" ht="21.75" hidden="false" customHeight="true" outlineLevel="0" collapsed="false">
      <c r="A10" s="12" t="s">
        <v>231</v>
      </c>
      <c r="B10" s="22" t="n">
        <f aca="false">SUMPRODUCT(Payroll_Raw_Data!F4:F543,Payroll_Raw_Data!H4:H543)*0.2</f>
        <v>20538.9</v>
      </c>
      <c r="C10" s="14" t="s">
        <v>232</v>
      </c>
      <c r="D10" s="14"/>
      <c r="E10" s="14"/>
    </row>
  </sheetData>
  <mergeCells count="9">
    <mergeCell ref="A1:H1"/>
    <mergeCell ref="C3:E3"/>
    <mergeCell ref="C4:E4"/>
    <mergeCell ref="C5:E5"/>
    <mergeCell ref="C6:E6"/>
    <mergeCell ref="C7:E7"/>
    <mergeCell ref="C8:E8"/>
    <mergeCell ref="C9:E9"/>
    <mergeCell ref="C10:E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4" min="2" style="0" width="14"/>
    <col collapsed="false" customWidth="true" hidden="false" outlineLevel="0" max="5" min="5" style="0" width="12"/>
    <col collapsed="false" customWidth="true" hidden="false" outlineLevel="0" max="6" min="6" style="0" width="14"/>
  </cols>
  <sheetData>
    <row r="1" customFormat="false" ht="25.5" hidden="false" customHeight="true" outlineLevel="0" collapsed="false">
      <c r="A1" s="1" t="s">
        <v>233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4</v>
      </c>
      <c r="B3" s="2" t="s">
        <v>234</v>
      </c>
      <c r="C3" s="2" t="s">
        <v>235</v>
      </c>
      <c r="D3" s="2" t="s">
        <v>236</v>
      </c>
      <c r="E3" s="2" t="s">
        <v>237</v>
      </c>
      <c r="F3" s="2" t="s">
        <v>238</v>
      </c>
    </row>
    <row r="4" customFormat="false" ht="15" hidden="false" customHeight="false" outlineLevel="0" collapsed="false">
      <c r="A4" s="23" t="s">
        <v>16</v>
      </c>
      <c r="B4" s="23" t="n">
        <f aca="false">SUMIF(Payroll_Raw_Data!D4:D543,"Jan-24",Payroll_Raw_Data!F4:F543)</f>
        <v>186</v>
      </c>
      <c r="C4" s="24" t="n">
        <f aca="false">SUMIF(Payroll_Raw_Data!D4:D543,"Jan-24",Payroll_Raw_Data!J4:J543)</f>
        <v>6163.5</v>
      </c>
      <c r="D4" s="24" t="n">
        <f aca="false">SUMIF(Payroll_Raw_Data!D4:D543,"Jan-24",Payroll_Raw_Data!I4:I543)</f>
        <v>54222</v>
      </c>
      <c r="E4" s="25" t="n">
        <f aca="false">C4/(C4+D4)</f>
        <v>0.10206920535559</v>
      </c>
      <c r="F4" s="25" t="n">
        <f aca="false">COUNTIFS(Payroll_Raw_Data!D4:D543,"Jan-24",Payroll_Raw_Data!L4:L543,"Met")/COUNTIF(Payroll_Raw_Data!D4:D543,"Jan-24")</f>
        <v>0.933333333333333</v>
      </c>
    </row>
    <row r="5" customFormat="false" ht="15" hidden="false" customHeight="false" outlineLevel="0" collapsed="false">
      <c r="A5" s="26" t="s">
        <v>40</v>
      </c>
      <c r="B5" s="26" t="n">
        <f aca="false">SUMIF(Payroll_Raw_Data!D4:D543,"Feb-24",Payroll_Raw_Data!F4:F543)</f>
        <v>279</v>
      </c>
      <c r="C5" s="27" t="n">
        <f aca="false">SUMIF(Payroll_Raw_Data!D4:D543,"Feb-24",Payroll_Raw_Data!J4:J543)</f>
        <v>9937.5</v>
      </c>
      <c r="D5" s="27" t="n">
        <f aca="false">SUMIF(Payroll_Raw_Data!D4:D543,"Feb-24",Payroll_Raw_Data!I4:I543)</f>
        <v>60488</v>
      </c>
      <c r="E5" s="28" t="n">
        <f aca="false">C5/(C5+D5)</f>
        <v>0.141106559413849</v>
      </c>
      <c r="F5" s="28" t="n">
        <f aca="false">COUNTIFS(Payroll_Raw_Data!D4:D543,"Feb-24",Payroll_Raw_Data!L4:L543,"Met")/COUNTIF(Payroll_Raw_Data!D4:D543,"Feb-24")</f>
        <v>0.8</v>
      </c>
    </row>
    <row r="6" customFormat="false" ht="15" hidden="false" customHeight="false" outlineLevel="0" collapsed="false">
      <c r="A6" s="23" t="s">
        <v>56</v>
      </c>
      <c r="B6" s="23" t="n">
        <f aca="false">SUMIF(Payroll_Raw_Data!D4:D543,"Mar-24",Payroll_Raw_Data!F4:F543)</f>
        <v>238</v>
      </c>
      <c r="C6" s="24" t="n">
        <f aca="false">SUMIF(Payroll_Raw_Data!D4:D543,"Mar-24",Payroll_Raw_Data!J4:J543)</f>
        <v>9171</v>
      </c>
      <c r="D6" s="24" t="n">
        <f aca="false">SUMIF(Payroll_Raw_Data!D4:D543,"Mar-24",Payroll_Raw_Data!I4:I543)</f>
        <v>57530</v>
      </c>
      <c r="E6" s="25" t="n">
        <f aca="false">C6/(C6+D6)</f>
        <v>0.137494190491897</v>
      </c>
      <c r="F6" s="25" t="n">
        <f aca="false">COUNTIFS(Payroll_Raw_Data!D4:D543,"Mar-24",Payroll_Raw_Data!L4:L543,"Met")/COUNTIF(Payroll_Raw_Data!D4:D543,"Mar-24")</f>
        <v>0.866666666666667</v>
      </c>
    </row>
    <row r="7" customFormat="false" ht="15" hidden="false" customHeight="false" outlineLevel="0" collapsed="false">
      <c r="A7" s="26" t="s">
        <v>72</v>
      </c>
      <c r="B7" s="26" t="n">
        <f aca="false">SUMIF(Payroll_Raw_Data!D4:D543,"Apr-24",Payroll_Raw_Data!F4:F543)</f>
        <v>220</v>
      </c>
      <c r="C7" s="27" t="n">
        <f aca="false">SUMIF(Payroll_Raw_Data!D4:D543,"Apr-24",Payroll_Raw_Data!J4:J543)</f>
        <v>8296.5</v>
      </c>
      <c r="D7" s="27" t="n">
        <f aca="false">SUMIF(Payroll_Raw_Data!D4:D543,"Apr-24",Payroll_Raw_Data!I4:I543)</f>
        <v>59430</v>
      </c>
      <c r="E7" s="28" t="n">
        <f aca="false">C7/(C7+D7)</f>
        <v>0.122500055369759</v>
      </c>
      <c r="F7" s="28" t="n">
        <f aca="false">COUNTIFS(Payroll_Raw_Data!D4:D543,"Apr-24",Payroll_Raw_Data!L4:L543,"Met")/COUNTIF(Payroll_Raw_Data!D4:D543,"Apr-24")</f>
        <v>0.866666666666667</v>
      </c>
    </row>
    <row r="8" customFormat="false" ht="15" hidden="false" customHeight="false" outlineLevel="0" collapsed="false">
      <c r="A8" s="23" t="s">
        <v>88</v>
      </c>
      <c r="B8" s="23" t="n">
        <f aca="false">SUMIF(Payroll_Raw_Data!D4:D543,"May-24",Payroll_Raw_Data!F4:F543)</f>
        <v>249</v>
      </c>
      <c r="C8" s="24" t="n">
        <f aca="false">SUMIF(Payroll_Raw_Data!D4:D543,"May-24",Payroll_Raw_Data!J4:J543)</f>
        <v>8821.5</v>
      </c>
      <c r="D8" s="24" t="n">
        <f aca="false">SUMIF(Payroll_Raw_Data!D4:D543,"May-24",Payroll_Raw_Data!I4:I543)</f>
        <v>54725</v>
      </c>
      <c r="E8" s="25" t="n">
        <f aca="false">C8/(C8+D8)</f>
        <v>0.138819604541556</v>
      </c>
      <c r="F8" s="25" t="n">
        <f aca="false">COUNTIFS(Payroll_Raw_Data!D4:D543,"May-24",Payroll_Raw_Data!L4:L543,"Met")/COUNTIF(Payroll_Raw_Data!D4:D543,"May-24")</f>
        <v>0.533333333333333</v>
      </c>
    </row>
    <row r="9" customFormat="false" ht="15" hidden="false" customHeight="false" outlineLevel="0" collapsed="false">
      <c r="A9" s="26" t="s">
        <v>104</v>
      </c>
      <c r="B9" s="26" t="n">
        <f aca="false">SUMIF(Payroll_Raw_Data!D4:D543,"Jun-24",Payroll_Raw_Data!F4:F543)</f>
        <v>316</v>
      </c>
      <c r="C9" s="27" t="n">
        <f aca="false">SUMIF(Payroll_Raw_Data!D4:D543,"Jun-24",Payroll_Raw_Data!J4:J543)</f>
        <v>10927.5</v>
      </c>
      <c r="D9" s="27" t="n">
        <f aca="false">SUMIF(Payroll_Raw_Data!D4:D543,"Jun-24",Payroll_Raw_Data!I4:I543)</f>
        <v>57039</v>
      </c>
      <c r="E9" s="28" t="n">
        <f aca="false">C9/(C9+D9)</f>
        <v>0.160777736090574</v>
      </c>
      <c r="F9" s="28" t="n">
        <f aca="false">COUNTIFS(Payroll_Raw_Data!D4:D543,"Jun-24",Payroll_Raw_Data!L4:L543,"Met")/COUNTIF(Payroll_Raw_Data!D4:D543,"Jun-24")</f>
        <v>0.6</v>
      </c>
    </row>
    <row r="10" customFormat="false" ht="15" hidden="false" customHeight="false" outlineLevel="0" collapsed="false">
      <c r="A10" s="23" t="s">
        <v>120</v>
      </c>
      <c r="B10" s="23" t="n">
        <f aca="false">SUMIF(Payroll_Raw_Data!D4:D543,"Jul-24",Payroll_Raw_Data!F4:F543)</f>
        <v>263</v>
      </c>
      <c r="C10" s="24" t="n">
        <f aca="false">SUMIF(Payroll_Raw_Data!D4:D543,"Jul-24",Payroll_Raw_Data!J4:J543)</f>
        <v>9099</v>
      </c>
      <c r="D10" s="24" t="n">
        <f aca="false">SUMIF(Payroll_Raw_Data!D4:D543,"Jul-24",Payroll_Raw_Data!I4:I543)</f>
        <v>55215</v>
      </c>
      <c r="E10" s="25" t="n">
        <f aca="false">C10/(C10+D10)</f>
        <v>0.141477749790092</v>
      </c>
      <c r="F10" s="25" t="n">
        <f aca="false">COUNTIFS(Payroll_Raw_Data!D4:D543,"Jul-24",Payroll_Raw_Data!L4:L543,"Met")/COUNTIF(Payroll_Raw_Data!D4:D543,"Jul-24")</f>
        <v>0.933333333333333</v>
      </c>
    </row>
    <row r="11" customFormat="false" ht="15" hidden="false" customHeight="false" outlineLevel="0" collapsed="false">
      <c r="A11" s="26" t="s">
        <v>136</v>
      </c>
      <c r="B11" s="26" t="n">
        <f aca="false">SUMIF(Payroll_Raw_Data!D4:D543,"Aug-24",Payroll_Raw_Data!F4:F543)</f>
        <v>273</v>
      </c>
      <c r="C11" s="27" t="n">
        <f aca="false">SUMIF(Payroll_Raw_Data!D4:D543,"Aug-24",Payroll_Raw_Data!J4:J543)</f>
        <v>10014</v>
      </c>
      <c r="D11" s="27" t="n">
        <f aca="false">SUMIF(Payroll_Raw_Data!D4:D543,"Aug-24",Payroll_Raw_Data!I4:I543)</f>
        <v>55884</v>
      </c>
      <c r="E11" s="28" t="n">
        <f aca="false">C11/(C11+D11)</f>
        <v>0.151962123281435</v>
      </c>
      <c r="F11" s="28" t="n">
        <f aca="false">COUNTIFS(Payroll_Raw_Data!D4:D543,"Aug-24",Payroll_Raw_Data!L4:L543,"Met")/COUNTIF(Payroll_Raw_Data!D4:D543,"Aug-24")</f>
        <v>0.533333333333333</v>
      </c>
    </row>
    <row r="12" customFormat="false" ht="15" hidden="false" customHeight="false" outlineLevel="0" collapsed="false">
      <c r="A12" s="23" t="s">
        <v>152</v>
      </c>
      <c r="B12" s="23" t="n">
        <f aca="false">SUMIF(Payroll_Raw_Data!D4:D543,"Sep-24",Payroll_Raw_Data!F4:F543)</f>
        <v>211</v>
      </c>
      <c r="C12" s="24" t="n">
        <f aca="false">SUMIF(Payroll_Raw_Data!D4:D543,"Sep-24",Payroll_Raw_Data!J4:J543)</f>
        <v>7672.5</v>
      </c>
      <c r="D12" s="24" t="n">
        <f aca="false">SUMIF(Payroll_Raw_Data!D4:D543,"Sep-24",Payroll_Raw_Data!I4:I543)</f>
        <v>57783</v>
      </c>
      <c r="E12" s="25" t="n">
        <f aca="false">C12/(C12+D12)</f>
        <v>0.117217040584825</v>
      </c>
      <c r="F12" s="25" t="n">
        <f aca="false">COUNTIFS(Payroll_Raw_Data!D4:D543,"Sep-24",Payroll_Raw_Data!L4:L543,"Met")/COUNTIF(Payroll_Raw_Data!D4:D543,"Sep-24")</f>
        <v>0.8</v>
      </c>
    </row>
    <row r="13" customFormat="false" ht="15" hidden="false" customHeight="false" outlineLevel="0" collapsed="false">
      <c r="A13" s="26" t="s">
        <v>168</v>
      </c>
      <c r="B13" s="26" t="n">
        <f aca="false">SUMIF(Payroll_Raw_Data!D4:D543,"Oct-24",Payroll_Raw_Data!F4:F543)</f>
        <v>184</v>
      </c>
      <c r="C13" s="27" t="n">
        <f aca="false">SUMIF(Payroll_Raw_Data!D4:D543,"Oct-24",Payroll_Raw_Data!J4:J543)</f>
        <v>6642</v>
      </c>
      <c r="D13" s="27" t="n">
        <f aca="false">SUMIF(Payroll_Raw_Data!D4:D543,"Oct-24",Payroll_Raw_Data!I4:I543)</f>
        <v>62723</v>
      </c>
      <c r="E13" s="28" t="n">
        <f aca="false">C13/(C13+D13)</f>
        <v>0.0957543429683558</v>
      </c>
      <c r="F13" s="28" t="n">
        <f aca="false">COUNTIFS(Payroll_Raw_Data!D4:D543,"Oct-24",Payroll_Raw_Data!L4:L543,"Met")/COUNTIF(Payroll_Raw_Data!D4:D543,"Oct-24")</f>
        <v>0.8</v>
      </c>
    </row>
    <row r="14" customFormat="false" ht="15" hidden="false" customHeight="false" outlineLevel="0" collapsed="false">
      <c r="A14" s="23" t="s">
        <v>184</v>
      </c>
      <c r="B14" s="23" t="n">
        <f aca="false">SUMIF(Payroll_Raw_Data!D4:D543,"Nov-24",Payroll_Raw_Data!F4:F543)</f>
        <v>182</v>
      </c>
      <c r="C14" s="24" t="n">
        <f aca="false">SUMIF(Payroll_Raw_Data!D4:D543,"Nov-24",Payroll_Raw_Data!J4:J543)</f>
        <v>6343.5</v>
      </c>
      <c r="D14" s="24" t="n">
        <f aca="false">SUMIF(Payroll_Raw_Data!D4:D543,"Nov-24",Payroll_Raw_Data!I4:I543)</f>
        <v>55768</v>
      </c>
      <c r="E14" s="25" t="n">
        <f aca="false">C14/(C14+D14)</f>
        <v>0.1021308453346</v>
      </c>
      <c r="F14" s="25" t="n">
        <f aca="false">COUNTIFS(Payroll_Raw_Data!D4:D543,"Nov-24",Payroll_Raw_Data!L4:L543,"Met")/COUNTIF(Payroll_Raw_Data!D4:D543,"Nov-24")</f>
        <v>0.866666666666667</v>
      </c>
    </row>
    <row r="15" customFormat="false" ht="15" hidden="false" customHeight="false" outlineLevel="0" collapsed="false">
      <c r="A15" s="26" t="s">
        <v>200</v>
      </c>
      <c r="B15" s="26" t="n">
        <f aca="false">SUMIF(Payroll_Raw_Data!D4:D543,"Dec-24",Payroll_Raw_Data!F4:F543)</f>
        <v>286</v>
      </c>
      <c r="C15" s="27" t="n">
        <f aca="false">SUMIF(Payroll_Raw_Data!D4:D543,"Dec-24",Payroll_Raw_Data!J4:J543)</f>
        <v>9606</v>
      </c>
      <c r="D15" s="27" t="n">
        <f aca="false">SUMIF(Payroll_Raw_Data!D4:D543,"Dec-24",Payroll_Raw_Data!I4:I543)</f>
        <v>54269</v>
      </c>
      <c r="E15" s="28" t="n">
        <f aca="false">C15/(C15+D15)</f>
        <v>0.15038747553816</v>
      </c>
      <c r="F15" s="28" t="n">
        <f aca="false">COUNTIFS(Payroll_Raw_Data!D4:D543,"Dec-24",Payroll_Raw_Data!L4:L543,"Met")/COUNTIF(Payroll_Raw_Data!D4:D543,"Dec-24")</f>
        <v>0.733333333333333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4"/>
    <col collapsed="false" customWidth="true" hidden="false" outlineLevel="0" max="5" min="4" style="0" width="18"/>
    <col collapsed="false" customWidth="true" hidden="false" outlineLevel="0" max="6" min="6" style="0" width="14"/>
  </cols>
  <sheetData>
    <row r="1" customFormat="false" ht="16.15" hidden="false" customHeight="false" outlineLevel="0" collapsed="false">
      <c r="A1" s="1" t="s">
        <v>239</v>
      </c>
      <c r="B1" s="1"/>
      <c r="C1" s="1"/>
      <c r="D1" s="1"/>
      <c r="E1" s="1"/>
      <c r="F1" s="1"/>
    </row>
    <row r="3" customFormat="false" ht="22.35" hidden="false" customHeight="false" outlineLevel="0" collapsed="false">
      <c r="A3" s="29" t="s">
        <v>2</v>
      </c>
      <c r="B3" s="29" t="s">
        <v>234</v>
      </c>
      <c r="C3" s="29" t="s">
        <v>235</v>
      </c>
      <c r="D3" s="29" t="s">
        <v>240</v>
      </c>
      <c r="E3" s="29" t="s">
        <v>241</v>
      </c>
      <c r="F3" s="29" t="s">
        <v>242</v>
      </c>
    </row>
    <row r="4" customFormat="false" ht="15" hidden="false" customHeight="false" outlineLevel="0" collapsed="false">
      <c r="A4" s="12" t="s">
        <v>14</v>
      </c>
      <c r="B4" s="23" t="n">
        <f aca="false">SUMIF(Payroll_Raw_Data!B4:B543,"Operations",Payroll_Raw_Data!F4:F543)</f>
        <v>585</v>
      </c>
      <c r="C4" s="24" t="n">
        <f aca="false">SUMIF(Payroll_Raw_Data!B4:B543,"Operations",Payroll_Raw_Data!J4:J543)</f>
        <v>19882.5</v>
      </c>
      <c r="D4" s="25" t="n">
        <f aca="false">C4/SUMIF(Payroll_Raw_Data!B4:B543,"Operations",Payroll_Raw_Data!K4:K543)</f>
        <v>0.133149617109048</v>
      </c>
      <c r="E4" s="30" t="n">
        <f aca="false">B4/COUNTIF(Payroll_Raw_Data!B4:B543,"Operations")</f>
        <v>16.25</v>
      </c>
      <c r="F4" s="25" t="n">
        <f aca="false">SUMIF(Payroll_Raw_Data!B4:B543,"Operations",Payroll_Raw_Data!E4:E543)/(COUNTIF(Payroll_Raw_Data!B4:B543,"Operations")*176)</f>
        <v>0.902146464646465</v>
      </c>
    </row>
    <row r="5" customFormat="false" ht="15" hidden="false" customHeight="false" outlineLevel="0" collapsed="false">
      <c r="A5" s="15" t="s">
        <v>23</v>
      </c>
      <c r="B5" s="26" t="n">
        <f aca="false">SUMIF(Payroll_Raw_Data!B4:B543,"Customer Service",Payroll_Raw_Data!F4:F543)</f>
        <v>596</v>
      </c>
      <c r="C5" s="27" t="n">
        <f aca="false">SUMIF(Payroll_Raw_Data!B4:B543,"Customer Service",Payroll_Raw_Data!J4:J543)</f>
        <v>21187.5</v>
      </c>
      <c r="D5" s="28" t="n">
        <f aca="false">C5/SUMIF(Payroll_Raw_Data!B4:B543,"Customer Service",Payroll_Raw_Data!K4:K543)</f>
        <v>0.131919344746108</v>
      </c>
      <c r="E5" s="31" t="n">
        <f aca="false">B5/COUNTIF(Payroll_Raw_Data!B4:B543,"Customer Service")</f>
        <v>16.5555555555556</v>
      </c>
      <c r="F5" s="28" t="n">
        <f aca="false">SUMIF(Payroll_Raw_Data!B4:B543,"Customer Service",Payroll_Raw_Data!E4:E543)/(COUNTIF(Payroll_Raw_Data!B4:B543,"Customer Service")*176)</f>
        <v>0.899305555555556</v>
      </c>
    </row>
    <row r="6" customFormat="false" ht="15" hidden="false" customHeight="false" outlineLevel="0" collapsed="false">
      <c r="A6" s="12" t="s">
        <v>27</v>
      </c>
      <c r="B6" s="23" t="n">
        <f aca="false">SUMIF(Payroll_Raw_Data!B4:B543,"Logistics",Payroll_Raw_Data!F4:F543)</f>
        <v>566</v>
      </c>
      <c r="C6" s="24" t="n">
        <f aca="false">SUMIF(Payroll_Raw_Data!B4:B543,"Logistics",Payroll_Raw_Data!J4:J543)</f>
        <v>22702.5</v>
      </c>
      <c r="D6" s="25" t="n">
        <f aca="false">C6/SUMIF(Payroll_Raw_Data!B4:B543,"Logistics",Payroll_Raw_Data!K4:K543)</f>
        <v>0.135439877580606</v>
      </c>
      <c r="E6" s="30" t="n">
        <f aca="false">B6/COUNTIF(Payroll_Raw_Data!B4:B543,"Logistics")</f>
        <v>15.7222222222222</v>
      </c>
      <c r="F6" s="25" t="n">
        <f aca="false">SUMIF(Payroll_Raw_Data!B4:B543,"Logistics",Payroll_Raw_Data!E4:E543)/(COUNTIF(Payroll_Raw_Data!B4:B543,"Logistics")*176)</f>
        <v>0.901199494949495</v>
      </c>
    </row>
    <row r="7" customFormat="false" ht="15" hidden="false" customHeight="false" outlineLevel="0" collapsed="false">
      <c r="A7" s="15" t="s">
        <v>32</v>
      </c>
      <c r="B7" s="26" t="n">
        <f aca="false">SUMIF(Payroll_Raw_Data!B4:B543,"Warehouse",Payroll_Raw_Data!F4:F543)</f>
        <v>525</v>
      </c>
      <c r="C7" s="27" t="n">
        <f aca="false">SUMIF(Payroll_Raw_Data!B4:B543,"Warehouse",Payroll_Raw_Data!J4:J543)</f>
        <v>17949</v>
      </c>
      <c r="D7" s="28" t="n">
        <f aca="false">C7/SUMIF(Payroll_Raw_Data!B4:B543,"Warehouse",Payroll_Raw_Data!K4:K543)</f>
        <v>0.11829331786757</v>
      </c>
      <c r="E7" s="31" t="n">
        <f aca="false">B7/COUNTIF(Payroll_Raw_Data!B4:B543,"Warehouse")</f>
        <v>14.5833333333333</v>
      </c>
      <c r="F7" s="28" t="n">
        <f aca="false">SUMIF(Payroll_Raw_Data!B4:B543,"Warehouse",Payroll_Raw_Data!E4:E543)/(COUNTIF(Payroll_Raw_Data!B4:B543,"Warehouse")*176)</f>
        <v>0.884627525252525</v>
      </c>
    </row>
    <row r="8" customFormat="false" ht="15" hidden="false" customHeight="false" outlineLevel="0" collapsed="false">
      <c r="A8" s="12" t="s">
        <v>36</v>
      </c>
      <c r="B8" s="23" t="n">
        <f aca="false">SUMIF(Payroll_Raw_Data!B4:B543,"Admin",Payroll_Raw_Data!F4:F543)</f>
        <v>615</v>
      </c>
      <c r="C8" s="24" t="n">
        <f aca="false">SUMIF(Payroll_Raw_Data!B4:B543,"Admin",Payroll_Raw_Data!J4:J543)</f>
        <v>20973</v>
      </c>
      <c r="D8" s="25" t="n">
        <f aca="false">C8/SUMIF(Payroll_Raw_Data!B4:B543,"Admin",Payroll_Raw_Data!K4:K543)</f>
        <v>0.13233596032382</v>
      </c>
      <c r="E8" s="30" t="n">
        <f aca="false">B8/COUNTIF(Payroll_Raw_Data!B4:B543,"Admin")</f>
        <v>17.0833333333333</v>
      </c>
      <c r="F8" s="25" t="n">
        <f aca="false">SUMIF(Payroll_Raw_Data!B4:B543,"Admin",Payroll_Raw_Data!E4:E543)/(COUNTIF(Payroll_Raw_Data!B4:B543,"Admin")*176)</f>
        <v>0.91082702020202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30"/>
    <col collapsed="false" customWidth="true" hidden="false" outlineLevel="0" max="7" min="5" style="0" width="5"/>
  </cols>
  <sheetData>
    <row r="1" customFormat="false" ht="30" hidden="false" customHeight="true" outlineLevel="0" collapsed="false">
      <c r="A1" s="32" t="s">
        <v>243</v>
      </c>
      <c r="B1" s="32"/>
      <c r="C1" s="32"/>
      <c r="D1" s="32"/>
      <c r="E1" s="32"/>
      <c r="F1" s="32"/>
      <c r="G1" s="32"/>
    </row>
    <row r="3" customFormat="false" ht="15" hidden="false" customHeight="true" outlineLevel="0" collapsed="false">
      <c r="A3" s="11" t="s">
        <v>244</v>
      </c>
      <c r="B3" s="11"/>
      <c r="C3" s="11"/>
      <c r="D3" s="11"/>
      <c r="E3" s="11"/>
      <c r="F3" s="11"/>
      <c r="G3" s="11"/>
    </row>
    <row r="4" customFormat="false" ht="15" hidden="false" customHeight="false" outlineLevel="0" collapsed="false">
      <c r="A4" s="26" t="s">
        <v>245</v>
      </c>
      <c r="B4" s="33" t="s">
        <v>246</v>
      </c>
      <c r="C4" s="34" t="n">
        <v>0.15</v>
      </c>
      <c r="D4" s="35" t="s">
        <v>247</v>
      </c>
    </row>
    <row r="5" customFormat="false" ht="15" hidden="false" customHeight="false" outlineLevel="0" collapsed="false">
      <c r="A5" s="26" t="s">
        <v>248</v>
      </c>
      <c r="B5" s="33" t="s">
        <v>249</v>
      </c>
      <c r="C5" s="34" t="n">
        <v>0.2</v>
      </c>
      <c r="D5" s="35" t="s">
        <v>250</v>
      </c>
    </row>
    <row r="6" customFormat="false" ht="15" hidden="false" customHeight="false" outlineLevel="0" collapsed="false">
      <c r="A6" s="26" t="s">
        <v>251</v>
      </c>
      <c r="B6" s="33" t="s">
        <v>252</v>
      </c>
      <c r="C6" s="34" t="n">
        <v>0.05</v>
      </c>
      <c r="D6" s="35" t="s">
        <v>253</v>
      </c>
    </row>
    <row r="7" customFormat="false" ht="15" hidden="false" customHeight="false" outlineLevel="0" collapsed="false">
      <c r="A7" s="26" t="s">
        <v>254</v>
      </c>
      <c r="B7" s="33" t="s">
        <v>255</v>
      </c>
      <c r="C7" s="36" t="n">
        <v>15000</v>
      </c>
      <c r="D7" s="35" t="s">
        <v>256</v>
      </c>
    </row>
    <row r="8" customFormat="false" ht="15" hidden="false" customHeight="false" outlineLevel="0" collapsed="false">
      <c r="A8" s="26" t="s">
        <v>257</v>
      </c>
      <c r="B8" s="33" t="s">
        <v>258</v>
      </c>
      <c r="C8" s="37" t="n">
        <v>40</v>
      </c>
      <c r="D8" s="35" t="s">
        <v>259</v>
      </c>
    </row>
    <row r="9" customFormat="false" ht="15" hidden="false" customHeight="false" outlineLevel="0" collapsed="false">
      <c r="A9" s="26" t="s">
        <v>260</v>
      </c>
      <c r="B9" s="33" t="s">
        <v>261</v>
      </c>
      <c r="C9" s="36" t="n">
        <v>32</v>
      </c>
      <c r="D9" s="35" t="s">
        <v>262</v>
      </c>
    </row>
    <row r="12" customFormat="false" ht="15" hidden="false" customHeight="true" outlineLevel="0" collapsed="false">
      <c r="A12" s="38" t="s">
        <v>263</v>
      </c>
      <c r="B12" s="38"/>
      <c r="C12" s="38"/>
      <c r="D12" s="38"/>
      <c r="E12" s="38"/>
      <c r="F12" s="38"/>
      <c r="G12" s="38"/>
    </row>
    <row r="13" customFormat="false" ht="15" hidden="false" customHeight="false" outlineLevel="0" collapsed="false">
      <c r="A13" s="15" t="s">
        <v>264</v>
      </c>
      <c r="B13" s="21" t="n">
        <f aca="false">KPI_Dashboard!B5*C4</f>
        <v>15404.175</v>
      </c>
    </row>
    <row r="14" customFormat="false" ht="15" hidden="false" customHeight="false" outlineLevel="0" collapsed="false">
      <c r="A14" s="39" t="s">
        <v>265</v>
      </c>
      <c r="B14" s="40" t="n">
        <f aca="false">KPI_Dashboard!B5*C5</f>
        <v>20538.9</v>
      </c>
      <c r="C14" s="41"/>
      <c r="D14" s="41"/>
    </row>
    <row r="15" customFormat="false" ht="15" hidden="false" customHeight="false" outlineLevel="0" collapsed="false">
      <c r="A15" s="15" t="s">
        <v>266</v>
      </c>
      <c r="B15" s="21" t="n">
        <f aca="false">C9*C10*12</f>
        <v>0</v>
      </c>
    </row>
    <row r="16" customFormat="false" ht="15" hidden="false" customHeight="false" outlineLevel="0" collapsed="false">
      <c r="A16" s="39" t="s">
        <v>267</v>
      </c>
      <c r="B16" s="42" t="n">
        <f aca="false">B13+B15</f>
        <v>15404.175</v>
      </c>
      <c r="C16" s="41"/>
      <c r="D16" s="41"/>
    </row>
    <row r="17" customFormat="false" ht="15" hidden="false" customHeight="false" outlineLevel="0" collapsed="false">
      <c r="A17" s="15" t="s">
        <v>268</v>
      </c>
      <c r="B17" s="43" t="n">
        <f aca="false">(B13+B15-C7)/C7</f>
        <v>0.026945</v>
      </c>
    </row>
    <row r="18" customFormat="false" ht="15" hidden="false" customHeight="false" outlineLevel="0" collapsed="false">
      <c r="A18" s="39" t="s">
        <v>269</v>
      </c>
      <c r="B18" s="44" t="n">
        <f aca="false">C7/(B13/12)</f>
        <v>11.6851438003009</v>
      </c>
      <c r="C18" s="41"/>
      <c r="D18" s="41"/>
    </row>
    <row r="20" customFormat="false" ht="36" hidden="false" customHeight="true" outlineLevel="0" collapsed="false">
      <c r="A20" s="45" t="s">
        <v>270</v>
      </c>
      <c r="B20" s="45"/>
      <c r="C20" s="45"/>
      <c r="D20" s="45"/>
      <c r="E20" s="45"/>
      <c r="F20" s="45"/>
      <c r="G20" s="45"/>
    </row>
  </sheetData>
  <mergeCells count="4">
    <mergeCell ref="A1:G1"/>
    <mergeCell ref="A3:G3"/>
    <mergeCell ref="A12:G12"/>
    <mergeCell ref="A20:G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2026-04-20T20:38:11Z</dcterms:created>
  <dc:creator>openpyxl</dc:creator>
  <dc:description/>
  <dc:language>en-US</dc:language>
  <cp:lastModifiedBy/>
  <dcterms:modified xsi:type="dcterms:W3CDTF">2026-04-20T20:38:51Z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